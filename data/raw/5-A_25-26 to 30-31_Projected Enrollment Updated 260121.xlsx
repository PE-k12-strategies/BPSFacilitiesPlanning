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aveExternalLinkValues="0"/>
  <mc:AlternateContent xmlns:mc="http://schemas.openxmlformats.org/markup-compatibility/2006">
    <mc:Choice Requires="x15">
      <x15ac:absPath xmlns:x15ac="http://schemas.microsoft.com/office/spreadsheetml/2010/11/ac" url="Z:\Student Accommodation Plans\2026 SAP\SAP Prelim Files by Section 2026\"/>
    </mc:Choice>
  </mc:AlternateContent>
  <xr:revisionPtr revIDLastSave="0" documentId="13_ncr:1_{7AC61635-67FE-477A-9FC8-077C89D833AA}" xr6:coauthVersionLast="47" xr6:coauthVersionMax="47" xr10:uidLastSave="{00000000-0000-0000-0000-000000000000}"/>
  <bookViews>
    <workbookView xWindow="67080" yWindow="1170" windowWidth="29040" windowHeight="15720" tabRatio="693" xr2:uid="{00000000-000D-0000-FFFF-FFFF00000000}"/>
  </bookViews>
  <sheets>
    <sheet name="25-26to30-31Proj_Type-TotCap" sheetId="8" r:id="rId1"/>
    <sheet name="DraftCombProjCalc-2026Effort" sheetId="23" r:id="rId2"/>
    <sheet name="Projected Budgeting GM 251203" sheetId="27" r:id="rId3"/>
    <sheet name="01. ProjectionsPublish241217" sheetId="26" r:id="rId4"/>
    <sheet name="251205School Land Inventory" sheetId="18" r:id="rId5"/>
  </sheets>
  <externalReferences>
    <externalReference r:id="rId6"/>
  </externalReferences>
  <definedNames>
    <definedName name="_0052">"ActualMembership2005_LKUP"</definedName>
    <definedName name="_Fill" localSheetId="4" hidden="1">[1]Revenues!#REF!</definedName>
    <definedName name="_Fill" localSheetId="0" hidden="1">[1]Revenues!#REF!</definedName>
    <definedName name="_Fill" localSheetId="1" hidden="1">[1]Revenues!#REF!</definedName>
    <definedName name="_Fill" hidden="1">[1]Revenues!#REF!</definedName>
    <definedName name="_Key1" localSheetId="0" hidden="1">[1]Revenues!#REF!</definedName>
    <definedName name="_Key1" localSheetId="1" hidden="1">[1]Revenues!#REF!</definedName>
    <definedName name="_Key1" hidden="1">[1]Revenues!#REF!</definedName>
    <definedName name="_Order1" hidden="1">255</definedName>
    <definedName name="_Sort" localSheetId="0" hidden="1">[1]Revenues!#REF!</definedName>
    <definedName name="_Sort" localSheetId="1" hidden="1">[1]Revenues!#REF!</definedName>
    <definedName name="_Sort" hidden="1">[1]Revenues!#REF!</definedName>
    <definedName name="budgeting2025">'Projected Budgeting GM 251203'!$A$8:$Q$96</definedName>
    <definedName name="CombEffort2022">'DraftCombProjCalc-2026Effort'!$B$10:$AG$95</definedName>
    <definedName name="Combo2024">'DraftCombProjCalc-2026Effort'!$B$10:$AG$95</definedName>
    <definedName name="CombProj" localSheetId="1">'DraftCombProjCalc-2026Effort'!$C$10:$AG$107</definedName>
    <definedName name="CombProj2223" localSheetId="1">'DraftCombProjCalc-2026Effort'!$C$10:$AG$94</definedName>
    <definedName name="HTML_CodePage" hidden="1">1252</definedName>
    <definedName name="HTML_Control" localSheetId="4" hidden="1">{"'AssumptionsHTML'!$B$9:$E$357","'SummationHTML'!$A$4:$J$93","'Difference'!$A$11:$K$101","'DifferenceFTE'!$A$11:$K$101","'Detail1'!$A$11:$I$97","'Detail2'!$A$11:$J$97","'Detail3'!$A$11:$J$97","'Categorical1'!$A$11:$L$97"}</definedName>
    <definedName name="HTML_Control" localSheetId="0" hidden="1">{"'AssumptionsHTML'!$B$9:$E$357","'SummationHTML'!$A$4:$J$93","'Difference'!$A$11:$K$101","'DifferenceFTE'!$A$11:$K$101","'Detail1'!$A$11:$I$97","'Detail2'!$A$11:$J$97","'Detail3'!$A$11:$J$97","'Categorical1'!$A$11:$L$97"}</definedName>
    <definedName name="HTML_Control" localSheetId="1" hidden="1">{"'AssumptionsHTML'!$B$9:$E$357","'SummationHTML'!$A$4:$J$93","'Difference'!$A$11:$K$101","'DifferenceFTE'!$A$11:$K$101","'Detail1'!$A$11:$I$97","'Detail2'!$A$11:$J$97","'Detail3'!$A$11:$J$97","'Categorical1'!$A$11:$L$97"}</definedName>
    <definedName name="HTML_Control" hidden="1">{"'AssumptionsHTML'!$B$9:$E$357","'SummationHTML'!$A$4:$J$93","'Difference'!$A$11:$K$101","'DifferenceFTE'!$A$11:$K$101","'Detail1'!$A$11:$I$97","'Detail2'!$A$11:$J$97","'Detail3'!$A$11:$J$97","'Categorical1'!$A$11:$L$97"}</definedName>
    <definedName name="HTML_Control_Old" localSheetId="4" hidden="1">{"'AssumptionsHTML'!$B$9:$E$357","'SummationHTML'!$A$4:$J$93","'Difference'!$A$11:$K$101","'DifferenceFTE'!$A$11:$K$101","'Detail1'!$A$11:$I$97","'Detail2'!$A$11:$J$97","'Detail3'!$A$11:$J$97","'Categorical1'!$A$11:$L$97"}</definedName>
    <definedName name="HTML_Control_Old" localSheetId="0" hidden="1">{"'AssumptionsHTML'!$B$9:$E$357","'SummationHTML'!$A$4:$J$93","'Difference'!$A$11:$K$101","'DifferenceFTE'!$A$11:$K$101","'Detail1'!$A$11:$I$97","'Detail2'!$A$11:$J$97","'Detail3'!$A$11:$J$97","'Categorical1'!$A$11:$L$97"}</definedName>
    <definedName name="HTML_Control_Old" localSheetId="1" hidden="1">{"'AssumptionsHTML'!$B$9:$E$357","'SummationHTML'!$A$4:$J$93","'Difference'!$A$11:$K$101","'DifferenceFTE'!$A$11:$K$101","'Detail1'!$A$11:$I$97","'Detail2'!$A$11:$J$97","'Detail3'!$A$11:$J$97","'Categorical1'!$A$11:$L$97"}</definedName>
    <definedName name="HTML_Control_Old" hidden="1">{"'AssumptionsHTML'!$B$9:$E$357","'SummationHTML'!$A$4:$J$93","'Difference'!$A$11:$K$101","'DifferenceFTE'!$A$11:$K$101","'Detail1'!$A$11:$I$97","'Detail2'!$A$11:$J$97","'Detail3'!$A$11:$J$97","'Categorical1'!$A$11:$L$97"}</definedName>
    <definedName name="HTML_Description" hidden="1">""</definedName>
    <definedName name="HTML_Email" hidden="1">""</definedName>
    <definedName name="HTML_Header" hidden="1">""</definedName>
    <definedName name="HTML_LastUpdate" hidden="1">"9/4/97"</definedName>
    <definedName name="HTML_LineAfter" hidden="1">FALSE</definedName>
    <definedName name="HTML_LineBefore" hidden="1">FALSE</definedName>
    <definedName name="HTML_Name" hidden="1">"David Montford"</definedName>
    <definedName name="HTML_OBDlg2" hidden="1">TRUE</definedName>
    <definedName name="HTML_OBDlg4" hidden="1">TRUE</definedName>
    <definedName name="HTML_OS" hidden="1">0</definedName>
    <definedName name="HTML_PathFile" hidden="1">"H:\XLFILES\test.htm"</definedName>
    <definedName name="HTML_Title" hidden="1">""</definedName>
    <definedName name="_xlnm.Print_Area" localSheetId="0">'25-26to30-31Proj_Type-TotCap'!$E$2:$V$117</definedName>
    <definedName name="_xlnm.Print_Area" localSheetId="1">'DraftCombProjCalc-2026Effort'!$F$6:$AR$99</definedName>
    <definedName name="_xlnm.Print_Titles" localSheetId="0">'25-26to30-31Proj_Type-TotCap'!$2:$7</definedName>
    <definedName name="ProjectionsBudgeting2526">'01. ProjectionsPublish241217'!$A$6:$V$124</definedName>
    <definedName name="ProjEffort2025">'DraftCombProjCalc-2026Effort'!$B$10:$AG$94</definedName>
    <definedName name="SchLand">'251205School Land Inventory'!$C$6:$X$126</definedName>
    <definedName name="SchLand200909">'251205School Land Inventory'!$C$6:$X$130</definedName>
    <definedName name="SchLand210921">'251205School Land Inventory'!$C$6:$X$126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50" i="8" l="1"/>
  <c r="O50" i="8"/>
  <c r="N50" i="8"/>
  <c r="M50" i="8"/>
  <c r="L50" i="8"/>
  <c r="L8" i="8"/>
  <c r="R94" i="23" l="1"/>
  <c r="R93" i="23"/>
  <c r="R92" i="23"/>
  <c r="R91" i="23"/>
  <c r="R90" i="23"/>
  <c r="R89" i="23"/>
  <c r="R88" i="23"/>
  <c r="R87" i="23"/>
  <c r="R86" i="23"/>
  <c r="R85" i="23"/>
  <c r="R84" i="23"/>
  <c r="R83" i="23"/>
  <c r="R82" i="23"/>
  <c r="R81" i="23"/>
  <c r="R80" i="23"/>
  <c r="R79" i="23"/>
  <c r="R78" i="23"/>
  <c r="R77" i="23"/>
  <c r="R76" i="23"/>
  <c r="R75" i="23"/>
  <c r="R74" i="23"/>
  <c r="R73" i="23"/>
  <c r="R72" i="23"/>
  <c r="R71" i="23"/>
  <c r="R70" i="23"/>
  <c r="R69" i="23"/>
  <c r="R68" i="23"/>
  <c r="R67" i="23"/>
  <c r="R66" i="23"/>
  <c r="R65" i="23"/>
  <c r="R64" i="23"/>
  <c r="R63" i="23"/>
  <c r="R62" i="23"/>
  <c r="R61" i="23"/>
  <c r="R60" i="23"/>
  <c r="R59" i="23"/>
  <c r="R58" i="23"/>
  <c r="R57" i="23"/>
  <c r="R56" i="23"/>
  <c r="R55" i="23"/>
  <c r="R54" i="23"/>
  <c r="R53" i="23"/>
  <c r="R52" i="23"/>
  <c r="R51" i="23"/>
  <c r="R50" i="23"/>
  <c r="R49" i="23"/>
  <c r="R48" i="23"/>
  <c r="R47" i="23"/>
  <c r="R46" i="23"/>
  <c r="R45" i="23"/>
  <c r="R44" i="23"/>
  <c r="R43" i="23"/>
  <c r="R42" i="23"/>
  <c r="R40" i="23"/>
  <c r="R39" i="23"/>
  <c r="R38" i="23"/>
  <c r="R37" i="23"/>
  <c r="R36" i="23"/>
  <c r="R35" i="23"/>
  <c r="R34" i="23"/>
  <c r="R33" i="23"/>
  <c r="R32" i="23"/>
  <c r="R31" i="23"/>
  <c r="R30" i="23"/>
  <c r="R29" i="23"/>
  <c r="R28" i="23"/>
  <c r="R27" i="23"/>
  <c r="R26" i="23"/>
  <c r="R25" i="23"/>
  <c r="R24" i="23"/>
  <c r="R23" i="23"/>
  <c r="R22" i="23"/>
  <c r="R21" i="23"/>
  <c r="R20" i="23"/>
  <c r="R19" i="23"/>
  <c r="R18" i="23"/>
  <c r="R17" i="23"/>
  <c r="R16" i="23"/>
  <c r="R15" i="23"/>
  <c r="R14" i="23"/>
  <c r="R13" i="23"/>
  <c r="R12" i="23"/>
  <c r="R11" i="23"/>
  <c r="R10" i="23"/>
  <c r="R95" i="23" l="1"/>
  <c r="R96" i="23" s="1"/>
  <c r="K84" i="27"/>
  <c r="K78" i="27"/>
  <c r="K7" i="27"/>
  <c r="K65" i="27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8" i="8"/>
  <c r="L67" i="8"/>
  <c r="L66" i="8"/>
  <c r="L65" i="8"/>
  <c r="L64" i="8"/>
  <c r="L63" i="8"/>
  <c r="L62" i="8"/>
  <c r="L61" i="8"/>
  <c r="L60" i="8"/>
  <c r="L59" i="8"/>
  <c r="L58" i="8"/>
  <c r="L57" i="8"/>
  <c r="L55" i="8"/>
  <c r="L54" i="8"/>
  <c r="L53" i="8"/>
  <c r="L52" i="8"/>
  <c r="L51" i="8"/>
  <c r="L49" i="8"/>
  <c r="L48" i="8"/>
  <c r="L47" i="8"/>
  <c r="L46" i="8"/>
  <c r="L45" i="8"/>
  <c r="L44" i="8"/>
  <c r="L43" i="8"/>
  <c r="L42" i="8"/>
  <c r="L41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5" i="8"/>
  <c r="L24" i="8"/>
  <c r="L23" i="8"/>
  <c r="L22" i="8"/>
  <c r="L21" i="8"/>
  <c r="L20" i="8"/>
  <c r="L19" i="8"/>
  <c r="L18" i="8"/>
  <c r="L17" i="8"/>
  <c r="L16" i="8"/>
  <c r="L15" i="8"/>
  <c r="L13" i="8"/>
  <c r="L12" i="8"/>
  <c r="L11" i="8"/>
  <c r="L10" i="8"/>
  <c r="L9" i="8"/>
  <c r="C1" i="27"/>
  <c r="D1" i="27" s="1"/>
  <c r="E1" i="27" s="1"/>
  <c r="F1" i="27" s="1"/>
  <c r="G1" i="27" s="1"/>
  <c r="H1" i="27" s="1"/>
  <c r="I1" i="27" s="1"/>
  <c r="J1" i="27" s="1"/>
  <c r="K1" i="27" s="1"/>
  <c r="L1" i="27" s="1"/>
  <c r="M1" i="27" s="1"/>
  <c r="N1" i="27" s="1"/>
  <c r="O1" i="27" s="1"/>
  <c r="P1" i="27" s="1"/>
  <c r="Q1" i="27" s="1"/>
  <c r="Y8" i="8"/>
  <c r="Y9" i="8"/>
  <c r="B1" i="27"/>
  <c r="Q7" i="27"/>
  <c r="R7" i="27" s="1"/>
  <c r="Q65" i="27"/>
  <c r="R65" i="27" s="1"/>
  <c r="Q78" i="27"/>
  <c r="R78" i="27" s="1"/>
  <c r="Q84" i="27"/>
  <c r="R84" i="27"/>
  <c r="X124" i="18"/>
  <c r="Q96" i="27" l="1"/>
  <c r="S96" i="27"/>
  <c r="C1" i="26" l="1"/>
  <c r="D1" i="26" s="1"/>
  <c r="E1" i="26" s="1"/>
  <c r="F1" i="26" s="1"/>
  <c r="G1" i="26" s="1"/>
  <c r="H1" i="26" s="1"/>
  <c r="I1" i="26" s="1"/>
  <c r="J1" i="26" s="1"/>
  <c r="K1" i="26" s="1"/>
  <c r="L1" i="26" s="1"/>
  <c r="M1" i="26" s="1"/>
  <c r="N1" i="26" s="1"/>
  <c r="O1" i="26" s="1"/>
  <c r="P1" i="26" s="1"/>
  <c r="Q1" i="26" s="1"/>
  <c r="R1" i="26" s="1"/>
  <c r="S1" i="26" s="1"/>
  <c r="T1" i="26" s="1"/>
  <c r="B1" i="26"/>
  <c r="I66" i="8" l="1"/>
  <c r="AC51" i="23" l="1"/>
  <c r="AO67" i="23"/>
  <c r="AB78" i="23"/>
  <c r="AP78" i="23" s="1"/>
  <c r="AC78" i="23"/>
  <c r="AO78" i="23"/>
  <c r="AD51" i="23" l="1"/>
  <c r="M51" i="8" s="1"/>
  <c r="AD78" i="23"/>
  <c r="M80" i="8" s="1"/>
  <c r="G95" i="23"/>
  <c r="Y80" i="8"/>
  <c r="Z80" i="8" s="1"/>
  <c r="Y65" i="8"/>
  <c r="Z65" i="8" s="1"/>
  <c r="I80" i="8"/>
  <c r="J80" i="8" s="1"/>
  <c r="AE78" i="23" l="1"/>
  <c r="N80" i="8" s="1"/>
  <c r="AE51" i="23"/>
  <c r="N51" i="8" s="1"/>
  <c r="AA80" i="8"/>
  <c r="AA79" i="8"/>
  <c r="AA78" i="8"/>
  <c r="AF78" i="23" l="1"/>
  <c r="O80" i="8" s="1"/>
  <c r="AF51" i="23"/>
  <c r="O51" i="8" s="1"/>
  <c r="AG80" i="8"/>
  <c r="AB80" i="8"/>
  <c r="AH80" i="8" s="1"/>
  <c r="AC40" i="23"/>
  <c r="AC39" i="23"/>
  <c r="AD39" i="23" l="1"/>
  <c r="M38" i="8" s="1"/>
  <c r="AD40" i="23"/>
  <c r="M39" i="8" s="1"/>
  <c r="AG51" i="23"/>
  <c r="P51" i="8" s="1"/>
  <c r="AG78" i="23"/>
  <c r="P80" i="8" s="1"/>
  <c r="AB94" i="23"/>
  <c r="AB93" i="23"/>
  <c r="AB92" i="23"/>
  <c r="AB91" i="23"/>
  <c r="AB90" i="23"/>
  <c r="AB89" i="23"/>
  <c r="AB88" i="23"/>
  <c r="AB87" i="23"/>
  <c r="AB86" i="23"/>
  <c r="AB85" i="23"/>
  <c r="AB84" i="23"/>
  <c r="AB83" i="23"/>
  <c r="AB82" i="23"/>
  <c r="AB81" i="23"/>
  <c r="AB80" i="23"/>
  <c r="AB79" i="23"/>
  <c r="AB77" i="23"/>
  <c r="AB76" i="23"/>
  <c r="AB75" i="23"/>
  <c r="AB74" i="23"/>
  <c r="AB73" i="23"/>
  <c r="AB72" i="23"/>
  <c r="AB71" i="23"/>
  <c r="AB70" i="23"/>
  <c r="AB69" i="23"/>
  <c r="AB68" i="23"/>
  <c r="AB67" i="23"/>
  <c r="AP67" i="23" s="1"/>
  <c r="AB66" i="23"/>
  <c r="AB65" i="23"/>
  <c r="AB64" i="23"/>
  <c r="AB63" i="23"/>
  <c r="AB62" i="23"/>
  <c r="AB61" i="23"/>
  <c r="AB60" i="23"/>
  <c r="AB59" i="23"/>
  <c r="AB58" i="23"/>
  <c r="AB57" i="23"/>
  <c r="AB56" i="23"/>
  <c r="AB55" i="23"/>
  <c r="AB54" i="23"/>
  <c r="AB53" i="23"/>
  <c r="AB52" i="23"/>
  <c r="AB51" i="23"/>
  <c r="AB50" i="23"/>
  <c r="AB49" i="23"/>
  <c r="AB48" i="23"/>
  <c r="AB47" i="23"/>
  <c r="AB46" i="23"/>
  <c r="AB45" i="23"/>
  <c r="AB44" i="23"/>
  <c r="AB43" i="23"/>
  <c r="AB42" i="23"/>
  <c r="AB41" i="23"/>
  <c r="AB40" i="23"/>
  <c r="AB39" i="23"/>
  <c r="AB38" i="23"/>
  <c r="AB37" i="23"/>
  <c r="AB36" i="23"/>
  <c r="AB35" i="23"/>
  <c r="AB34" i="23"/>
  <c r="AB33" i="23"/>
  <c r="AB32" i="23"/>
  <c r="AB31" i="23"/>
  <c r="AB30" i="23"/>
  <c r="AB29" i="23"/>
  <c r="AB28" i="23"/>
  <c r="AB27" i="23"/>
  <c r="AB26" i="23"/>
  <c r="AB25" i="23"/>
  <c r="AB24" i="23"/>
  <c r="AB23" i="23"/>
  <c r="AB22" i="23"/>
  <c r="AB21" i="23"/>
  <c r="AB20" i="23"/>
  <c r="AB19" i="23"/>
  <c r="AB18" i="23"/>
  <c r="AB17" i="23"/>
  <c r="AB16" i="23"/>
  <c r="AB15" i="23"/>
  <c r="AB14" i="23"/>
  <c r="AB13" i="23"/>
  <c r="AB12" i="23"/>
  <c r="AB11" i="23"/>
  <c r="AB10" i="23"/>
  <c r="AP10" i="23" s="1"/>
  <c r="I79" i="8"/>
  <c r="J79" i="8" s="1"/>
  <c r="Y79" i="8"/>
  <c r="Z79" i="8" s="1"/>
  <c r="AG79" i="8" s="1"/>
  <c r="AE40" i="23" l="1"/>
  <c r="N39" i="8" s="1"/>
  <c r="AE39" i="23"/>
  <c r="N38" i="8" s="1"/>
  <c r="Q79" i="8"/>
  <c r="I65" i="8"/>
  <c r="I67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Y96" i="8"/>
  <c r="Z96" i="8" s="1"/>
  <c r="Y95" i="8"/>
  <c r="Z95" i="8" s="1"/>
  <c r="Y94" i="8"/>
  <c r="Z94" i="8" s="1"/>
  <c r="Y93" i="8"/>
  <c r="Z93" i="8" s="1"/>
  <c r="Y92" i="8"/>
  <c r="Z92" i="8" s="1"/>
  <c r="Y91" i="8"/>
  <c r="Z91" i="8" s="1"/>
  <c r="Y90" i="8"/>
  <c r="Z90" i="8" s="1"/>
  <c r="Y89" i="8"/>
  <c r="Z89" i="8" s="1"/>
  <c r="Y88" i="8"/>
  <c r="Z88" i="8" s="1"/>
  <c r="Y87" i="8"/>
  <c r="Z87" i="8" s="1"/>
  <c r="Y86" i="8"/>
  <c r="Z86" i="8" s="1"/>
  <c r="Y85" i="8"/>
  <c r="Z85" i="8" s="1"/>
  <c r="Y84" i="8"/>
  <c r="Z84" i="8" s="1"/>
  <c r="Y83" i="8"/>
  <c r="Z83" i="8" s="1"/>
  <c r="Y82" i="8"/>
  <c r="Z82" i="8" s="1"/>
  <c r="Y81" i="8"/>
  <c r="Z81" i="8" s="1"/>
  <c r="Y78" i="8"/>
  <c r="Z78" i="8" s="1"/>
  <c r="Y77" i="8"/>
  <c r="Z77" i="8" s="1"/>
  <c r="Y76" i="8"/>
  <c r="Z76" i="8" s="1"/>
  <c r="Y75" i="8"/>
  <c r="Z75" i="8" s="1"/>
  <c r="Y74" i="8"/>
  <c r="Z74" i="8" s="1"/>
  <c r="Y73" i="8"/>
  <c r="Z73" i="8" s="1"/>
  <c r="Y72" i="8"/>
  <c r="Z72" i="8" s="1"/>
  <c r="Y71" i="8"/>
  <c r="Z71" i="8" s="1"/>
  <c r="Y70" i="8"/>
  <c r="Z70" i="8" s="1"/>
  <c r="Y69" i="8"/>
  <c r="Z69" i="8" s="1"/>
  <c r="Y68" i="8"/>
  <c r="Z68" i="8" s="1"/>
  <c r="Y67" i="8"/>
  <c r="Z67" i="8" s="1"/>
  <c r="Y66" i="8"/>
  <c r="Z66" i="8" s="1"/>
  <c r="Y64" i="8"/>
  <c r="Z64" i="8" s="1"/>
  <c r="Y63" i="8"/>
  <c r="Z63" i="8" s="1"/>
  <c r="Y62" i="8"/>
  <c r="Z62" i="8" s="1"/>
  <c r="Y61" i="8"/>
  <c r="Z61" i="8" s="1"/>
  <c r="Y60" i="8"/>
  <c r="Z60" i="8" s="1"/>
  <c r="Y59" i="8"/>
  <c r="Z59" i="8" s="1"/>
  <c r="Y58" i="8"/>
  <c r="Z58" i="8" s="1"/>
  <c r="Y57" i="8"/>
  <c r="Z57" i="8" s="1"/>
  <c r="Y56" i="8"/>
  <c r="Z56" i="8" s="1"/>
  <c r="Y55" i="8"/>
  <c r="Z55" i="8" s="1"/>
  <c r="Y54" i="8"/>
  <c r="Z54" i="8" s="1"/>
  <c r="Y53" i="8"/>
  <c r="Z53" i="8" s="1"/>
  <c r="Y52" i="8"/>
  <c r="Z52" i="8" s="1"/>
  <c r="Y51" i="8"/>
  <c r="Z51" i="8" s="1"/>
  <c r="Y50" i="8"/>
  <c r="Z50" i="8" s="1"/>
  <c r="Y49" i="8"/>
  <c r="Z49" i="8" s="1"/>
  <c r="Y48" i="8"/>
  <c r="Z48" i="8" s="1"/>
  <c r="Y47" i="8"/>
  <c r="Z47" i="8" s="1"/>
  <c r="Y46" i="8"/>
  <c r="Z46" i="8" s="1"/>
  <c r="Y45" i="8"/>
  <c r="Z45" i="8" s="1"/>
  <c r="Y44" i="8"/>
  <c r="Z44" i="8" s="1"/>
  <c r="Y43" i="8"/>
  <c r="Z43" i="8" s="1"/>
  <c r="Y42" i="8"/>
  <c r="Z42" i="8" s="1"/>
  <c r="Y41" i="8"/>
  <c r="Z41" i="8" s="1"/>
  <c r="Y39" i="8"/>
  <c r="Z39" i="8" s="1"/>
  <c r="Y38" i="8"/>
  <c r="Z38" i="8" s="1"/>
  <c r="Y37" i="8"/>
  <c r="Z37" i="8" s="1"/>
  <c r="Y36" i="8"/>
  <c r="Z36" i="8" s="1"/>
  <c r="Y35" i="8"/>
  <c r="Z35" i="8" s="1"/>
  <c r="Y34" i="8"/>
  <c r="Z34" i="8" s="1"/>
  <c r="Y33" i="8"/>
  <c r="Z33" i="8" s="1"/>
  <c r="Y32" i="8"/>
  <c r="Z32" i="8" s="1"/>
  <c r="Y31" i="8"/>
  <c r="Z31" i="8" s="1"/>
  <c r="Y30" i="8"/>
  <c r="Z30" i="8" s="1"/>
  <c r="Y29" i="8"/>
  <c r="Z29" i="8" s="1"/>
  <c r="Y28" i="8"/>
  <c r="Z28" i="8" s="1"/>
  <c r="Y27" i="8"/>
  <c r="Z27" i="8" s="1"/>
  <c r="Y26" i="8"/>
  <c r="Z26" i="8" s="1"/>
  <c r="Y25" i="8"/>
  <c r="Z25" i="8" s="1"/>
  <c r="Y24" i="8"/>
  <c r="Z24" i="8" s="1"/>
  <c r="Y23" i="8"/>
  <c r="Z23" i="8" s="1"/>
  <c r="Y22" i="8"/>
  <c r="Z22" i="8" s="1"/>
  <c r="Y21" i="8"/>
  <c r="Z21" i="8" s="1"/>
  <c r="Y20" i="8"/>
  <c r="Z20" i="8" s="1"/>
  <c r="Y19" i="8"/>
  <c r="Z19" i="8" s="1"/>
  <c r="Y18" i="8"/>
  <c r="Z18" i="8" s="1"/>
  <c r="Y17" i="8"/>
  <c r="Z17" i="8" s="1"/>
  <c r="Y16" i="8"/>
  <c r="Z16" i="8" s="1"/>
  <c r="Y15" i="8"/>
  <c r="Z15" i="8" s="1"/>
  <c r="Y14" i="8"/>
  <c r="Z14" i="8" s="1"/>
  <c r="Y13" i="8"/>
  <c r="Z13" i="8" s="1"/>
  <c r="Y12" i="8"/>
  <c r="Z12" i="8" s="1"/>
  <c r="Y11" i="8"/>
  <c r="Z11" i="8" s="1"/>
  <c r="Y10" i="8"/>
  <c r="Z10" i="8" s="1"/>
  <c r="Z9" i="8"/>
  <c r="AF39" i="23" l="1"/>
  <c r="O38" i="8" s="1"/>
  <c r="AF40" i="23"/>
  <c r="O39" i="8" s="1"/>
  <c r="AT78" i="23"/>
  <c r="AR78" i="23"/>
  <c r="AQ78" i="23"/>
  <c r="AG78" i="8"/>
  <c r="J65" i="8"/>
  <c r="I78" i="8"/>
  <c r="J78" i="8" s="1"/>
  <c r="I77" i="8"/>
  <c r="I76" i="8"/>
  <c r="I75" i="8"/>
  <c r="I74" i="8"/>
  <c r="I73" i="8"/>
  <c r="I72" i="8"/>
  <c r="I71" i="8"/>
  <c r="I70" i="8"/>
  <c r="I68" i="8"/>
  <c r="R65" i="8" l="1"/>
  <c r="AG40" i="23"/>
  <c r="P39" i="8" s="1"/>
  <c r="AG39" i="23"/>
  <c r="P38" i="8" s="1"/>
  <c r="AU78" i="23"/>
  <c r="J68" i="8"/>
  <c r="I100" i="8"/>
  <c r="Q78" i="8"/>
  <c r="Q68" i="8"/>
  <c r="K124" i="18"/>
  <c r="N124" i="18"/>
  <c r="O124" i="18"/>
  <c r="P124" i="18"/>
  <c r="P126" i="18" s="1"/>
  <c r="Q124" i="18"/>
  <c r="R124" i="18"/>
  <c r="S124" i="18"/>
  <c r="S126" i="18" s="1"/>
  <c r="W124" i="18"/>
  <c r="AV78" i="23" l="1"/>
  <c r="U126" i="18"/>
  <c r="Q129" i="18"/>
  <c r="AW78" i="23" l="1"/>
  <c r="AX78" i="23" l="1"/>
  <c r="AH78" i="23"/>
  <c r="AI78" i="23" s="1"/>
  <c r="AJ78" i="23" s="1"/>
  <c r="AK78" i="23" s="1"/>
  <c r="AL78" i="23" s="1"/>
  <c r="C3" i="23"/>
  <c r="D3" i="23" s="1"/>
  <c r="E3" i="23" s="1"/>
  <c r="F3" i="23" s="1"/>
  <c r="G3" i="23" s="1"/>
  <c r="H3" i="23" s="1"/>
  <c r="I3" i="23" s="1"/>
  <c r="J3" i="23" s="1"/>
  <c r="K3" i="23" s="1"/>
  <c r="L3" i="23" s="1"/>
  <c r="M3" i="23" s="1"/>
  <c r="N3" i="23" s="1"/>
  <c r="O3" i="23" s="1"/>
  <c r="P3" i="23" s="1"/>
  <c r="Q3" i="23" s="1"/>
  <c r="R3" i="23" s="1"/>
  <c r="S3" i="23" s="1"/>
  <c r="T3" i="23" s="1"/>
  <c r="U3" i="23" s="1"/>
  <c r="V3" i="23" s="1"/>
  <c r="W3" i="23" s="1"/>
  <c r="X3" i="23" s="1"/>
  <c r="Y3" i="23" s="1"/>
  <c r="Z3" i="23" s="1"/>
  <c r="AA3" i="23" s="1"/>
  <c r="AB3" i="23" s="1"/>
  <c r="AC3" i="23" s="1"/>
  <c r="AD3" i="23" s="1"/>
  <c r="AE3" i="23" s="1"/>
  <c r="AF3" i="23" s="1"/>
  <c r="AG3" i="23" s="1"/>
  <c r="AC94" i="23"/>
  <c r="AC93" i="23"/>
  <c r="AC92" i="23"/>
  <c r="AC91" i="23"/>
  <c r="AC90" i="23"/>
  <c r="AC89" i="23"/>
  <c r="AC88" i="23"/>
  <c r="AC87" i="23"/>
  <c r="AC86" i="23"/>
  <c r="AC85" i="23"/>
  <c r="AC84" i="23"/>
  <c r="AC83" i="23"/>
  <c r="AC82" i="23"/>
  <c r="AC81" i="23"/>
  <c r="AC80" i="23"/>
  <c r="AC79" i="23"/>
  <c r="AC77" i="23"/>
  <c r="AC76" i="23"/>
  <c r="AC75" i="23"/>
  <c r="AC74" i="23"/>
  <c r="AC73" i="23"/>
  <c r="AC72" i="23"/>
  <c r="AC71" i="23"/>
  <c r="AC70" i="23"/>
  <c r="AC69" i="23"/>
  <c r="AC68" i="23"/>
  <c r="AC67" i="23"/>
  <c r="AC66" i="23"/>
  <c r="AC65" i="23"/>
  <c r="AC64" i="23"/>
  <c r="AC63" i="23"/>
  <c r="AC62" i="23"/>
  <c r="AC61" i="23"/>
  <c r="AC60" i="23"/>
  <c r="AC59" i="23"/>
  <c r="AC58" i="23"/>
  <c r="AC57" i="23"/>
  <c r="AC56" i="23"/>
  <c r="AC55" i="23"/>
  <c r="AC54" i="23"/>
  <c r="AC53" i="23"/>
  <c r="AC52" i="23"/>
  <c r="AT51" i="23"/>
  <c r="AC50" i="23"/>
  <c r="AC49" i="23"/>
  <c r="AC48" i="23"/>
  <c r="AD48" i="23" s="1"/>
  <c r="M48" i="8" s="1"/>
  <c r="AC47" i="23"/>
  <c r="AC46" i="23"/>
  <c r="AC45" i="23"/>
  <c r="AC44" i="23"/>
  <c r="AC43" i="23"/>
  <c r="AC42" i="23"/>
  <c r="AC41" i="23"/>
  <c r="AC38" i="23"/>
  <c r="AC37" i="23"/>
  <c r="AC36" i="23"/>
  <c r="AC35" i="23"/>
  <c r="AC34" i="23"/>
  <c r="AC33" i="23"/>
  <c r="AC32" i="23"/>
  <c r="AC31" i="23"/>
  <c r="AC30" i="23"/>
  <c r="AC29" i="23"/>
  <c r="AC28" i="23"/>
  <c r="AC27" i="23"/>
  <c r="AC26" i="23"/>
  <c r="AC25" i="23"/>
  <c r="AC24" i="23"/>
  <c r="AC23" i="23"/>
  <c r="AC22" i="23"/>
  <c r="AC21" i="23"/>
  <c r="AC20" i="23"/>
  <c r="AC19" i="23"/>
  <c r="AC18" i="23"/>
  <c r="AC17" i="23"/>
  <c r="AC16" i="23"/>
  <c r="AC15" i="23"/>
  <c r="AC14" i="23"/>
  <c r="AC13" i="23"/>
  <c r="AC12" i="23"/>
  <c r="AC11" i="23"/>
  <c r="AC10" i="23"/>
  <c r="V96" i="23"/>
  <c r="U96" i="23"/>
  <c r="T96" i="23"/>
  <c r="AB95" i="23"/>
  <c r="AA95" i="23"/>
  <c r="Z95" i="23"/>
  <c r="AA96" i="23" s="1"/>
  <c r="Y95" i="23"/>
  <c r="X95" i="23"/>
  <c r="W95" i="23"/>
  <c r="Q95" i="23"/>
  <c r="P95" i="23"/>
  <c r="O95" i="23"/>
  <c r="N95" i="23"/>
  <c r="O96" i="23" s="1"/>
  <c r="M95" i="23"/>
  <c r="L95" i="23"/>
  <c r="K95" i="23"/>
  <c r="J95" i="23"/>
  <c r="I95" i="23"/>
  <c r="H95" i="23"/>
  <c r="AP94" i="23"/>
  <c r="AO94" i="23"/>
  <c r="AP93" i="23"/>
  <c r="AO93" i="23"/>
  <c r="AP92" i="23"/>
  <c r="AO92" i="23"/>
  <c r="AR91" i="23"/>
  <c r="AP91" i="23"/>
  <c r="AO91" i="23"/>
  <c r="AP90" i="23"/>
  <c r="AO90" i="23"/>
  <c r="AP89" i="23"/>
  <c r="AO89" i="23"/>
  <c r="AP88" i="23"/>
  <c r="AO88" i="23"/>
  <c r="AP87" i="23"/>
  <c r="AO87" i="23"/>
  <c r="AP86" i="23"/>
  <c r="AO86" i="23"/>
  <c r="AP85" i="23"/>
  <c r="AO85" i="23"/>
  <c r="AP84" i="23"/>
  <c r="AO84" i="23"/>
  <c r="AP83" i="23"/>
  <c r="AO83" i="23"/>
  <c r="AP82" i="23"/>
  <c r="AO82" i="23"/>
  <c r="AP81" i="23"/>
  <c r="AO81" i="23"/>
  <c r="AP80" i="23"/>
  <c r="AO80" i="23"/>
  <c r="AP79" i="23"/>
  <c r="AO79" i="23"/>
  <c r="AP77" i="23"/>
  <c r="AO77" i="23"/>
  <c r="AP76" i="23"/>
  <c r="AO76" i="23"/>
  <c r="AP75" i="23"/>
  <c r="AO75" i="23"/>
  <c r="AP74" i="23"/>
  <c r="AO74" i="23"/>
  <c r="AP73" i="23"/>
  <c r="AO73" i="23"/>
  <c r="AP72" i="23"/>
  <c r="AO72" i="23"/>
  <c r="AP71" i="23"/>
  <c r="AO71" i="23"/>
  <c r="AP70" i="23"/>
  <c r="AO70" i="23"/>
  <c r="AP69" i="23"/>
  <c r="AO69" i="23"/>
  <c r="AP68" i="23"/>
  <c r="AO68" i="23"/>
  <c r="AP66" i="23"/>
  <c r="AO66" i="23"/>
  <c r="AP65" i="23"/>
  <c r="AO65" i="23"/>
  <c r="AP64" i="23"/>
  <c r="AO64" i="23"/>
  <c r="AP63" i="23"/>
  <c r="AO63" i="23"/>
  <c r="AP62" i="23"/>
  <c r="AO62" i="23"/>
  <c r="AP61" i="23"/>
  <c r="AO61" i="23"/>
  <c r="AP60" i="23"/>
  <c r="AO60" i="23"/>
  <c r="AP59" i="23"/>
  <c r="AO59" i="23"/>
  <c r="AP58" i="23"/>
  <c r="AO58" i="23"/>
  <c r="AP57" i="23"/>
  <c r="AO57" i="23"/>
  <c r="AP56" i="23"/>
  <c r="AO56" i="23"/>
  <c r="AP55" i="23"/>
  <c r="AO55" i="23"/>
  <c r="AP54" i="23"/>
  <c r="AO54" i="23"/>
  <c r="AP53" i="23"/>
  <c r="AO53" i="23"/>
  <c r="AP52" i="23"/>
  <c r="AO52" i="23"/>
  <c r="AP51" i="23"/>
  <c r="AO51" i="23"/>
  <c r="AP50" i="23"/>
  <c r="AO50" i="23"/>
  <c r="AP49" i="23"/>
  <c r="AO49" i="23"/>
  <c r="AP48" i="23"/>
  <c r="AO48" i="23"/>
  <c r="AP47" i="23"/>
  <c r="AO47" i="23"/>
  <c r="AP46" i="23"/>
  <c r="AO46" i="23"/>
  <c r="AP45" i="23"/>
  <c r="AO45" i="23"/>
  <c r="AP44" i="23"/>
  <c r="AO44" i="23"/>
  <c r="AP43" i="23"/>
  <c r="AO43" i="23"/>
  <c r="AP42" i="23"/>
  <c r="AO42" i="23"/>
  <c r="AP41" i="23"/>
  <c r="AO41" i="23"/>
  <c r="AP40" i="23"/>
  <c r="AO40" i="23"/>
  <c r="AT39" i="23"/>
  <c r="AR39" i="23"/>
  <c r="AP39" i="23"/>
  <c r="AO39" i="23"/>
  <c r="AP38" i="23"/>
  <c r="AO38" i="23"/>
  <c r="AP37" i="23"/>
  <c r="AO37" i="23"/>
  <c r="AP36" i="23"/>
  <c r="AO36" i="23"/>
  <c r="AP35" i="23"/>
  <c r="AO35" i="23"/>
  <c r="AP34" i="23"/>
  <c r="AO34" i="23"/>
  <c r="AP33" i="23"/>
  <c r="AO33" i="23"/>
  <c r="AP32" i="23"/>
  <c r="AO32" i="23"/>
  <c r="AP31" i="23"/>
  <c r="AO31" i="23"/>
  <c r="AP30" i="23"/>
  <c r="AO30" i="23"/>
  <c r="AP29" i="23"/>
  <c r="AO29" i="23"/>
  <c r="AP28" i="23"/>
  <c r="AO28" i="23"/>
  <c r="AP27" i="23"/>
  <c r="AO27" i="23"/>
  <c r="AP26" i="23"/>
  <c r="AO26" i="23"/>
  <c r="AP25" i="23"/>
  <c r="AO25" i="23"/>
  <c r="AP24" i="23"/>
  <c r="AO24" i="23"/>
  <c r="AP23" i="23"/>
  <c r="AO23" i="23"/>
  <c r="AP22" i="23"/>
  <c r="AO22" i="23"/>
  <c r="AP21" i="23"/>
  <c r="AO21" i="23"/>
  <c r="AP20" i="23"/>
  <c r="AO20" i="23"/>
  <c r="AP19" i="23"/>
  <c r="AO19" i="23"/>
  <c r="AP18" i="23"/>
  <c r="AO18" i="23"/>
  <c r="AP17" i="23"/>
  <c r="AO17" i="23"/>
  <c r="AP16" i="23"/>
  <c r="AO16" i="23"/>
  <c r="AP15" i="23"/>
  <c r="AO15" i="23"/>
  <c r="AP14" i="23"/>
  <c r="AO14" i="23"/>
  <c r="AP13" i="23"/>
  <c r="AO13" i="23"/>
  <c r="AP12" i="23"/>
  <c r="AO12" i="23"/>
  <c r="AP11" i="23"/>
  <c r="AO11" i="23"/>
  <c r="AO10" i="23"/>
  <c r="I96" i="8"/>
  <c r="J96" i="8" s="1"/>
  <c r="I95" i="8"/>
  <c r="I94" i="8"/>
  <c r="I93" i="8"/>
  <c r="I92" i="8"/>
  <c r="I91" i="8"/>
  <c r="I90" i="8"/>
  <c r="J90" i="8" s="1"/>
  <c r="I89" i="8"/>
  <c r="I88" i="8"/>
  <c r="J88" i="8" s="1"/>
  <c r="I87" i="8"/>
  <c r="I86" i="8"/>
  <c r="I85" i="8"/>
  <c r="I84" i="8"/>
  <c r="I83" i="8"/>
  <c r="J83" i="8" s="1"/>
  <c r="I82" i="8"/>
  <c r="J82" i="8" s="1"/>
  <c r="I81" i="8"/>
  <c r="J81" i="8" s="1"/>
  <c r="K102" i="8"/>
  <c r="K101" i="8"/>
  <c r="K100" i="8"/>
  <c r="K99" i="8"/>
  <c r="AA96" i="8"/>
  <c r="AA95" i="8"/>
  <c r="AA94" i="8"/>
  <c r="AA93" i="8"/>
  <c r="AA92" i="8"/>
  <c r="AA91" i="8"/>
  <c r="AA90" i="8"/>
  <c r="AA89" i="8"/>
  <c r="AA88" i="8"/>
  <c r="AA87" i="8"/>
  <c r="AA86" i="8"/>
  <c r="AA85" i="8"/>
  <c r="AA84" i="8"/>
  <c r="AA83" i="8"/>
  <c r="AA82" i="8"/>
  <c r="AA81" i="8"/>
  <c r="AA77" i="8"/>
  <c r="AA76" i="8"/>
  <c r="AA75" i="8"/>
  <c r="AA74" i="8"/>
  <c r="AA73" i="8"/>
  <c r="AA72" i="8"/>
  <c r="AA71" i="8"/>
  <c r="AA70" i="8"/>
  <c r="AA69" i="8"/>
  <c r="AA68" i="8"/>
  <c r="AA67" i="8"/>
  <c r="AA66" i="8"/>
  <c r="AA65" i="8"/>
  <c r="AA64" i="8"/>
  <c r="AA63" i="8"/>
  <c r="AA62" i="8"/>
  <c r="AA61" i="8"/>
  <c r="AA60" i="8"/>
  <c r="AA59" i="8"/>
  <c r="AA58" i="8"/>
  <c r="AA57" i="8"/>
  <c r="AA56" i="8"/>
  <c r="AA55" i="8"/>
  <c r="AA54" i="8"/>
  <c r="AA53" i="8"/>
  <c r="AA52" i="8"/>
  <c r="AA51" i="8"/>
  <c r="AA50" i="8"/>
  <c r="AA49" i="8"/>
  <c r="AA48" i="8"/>
  <c r="AA47" i="8"/>
  <c r="AA46" i="8"/>
  <c r="AA45" i="8"/>
  <c r="AA44" i="8"/>
  <c r="AA43" i="8"/>
  <c r="AA42" i="8"/>
  <c r="AA41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25" i="8"/>
  <c r="AA24" i="8"/>
  <c r="AA23" i="8"/>
  <c r="AA22" i="8"/>
  <c r="AA21" i="8"/>
  <c r="AA20" i="8"/>
  <c r="AA19" i="8"/>
  <c r="AA18" i="8"/>
  <c r="AA17" i="8"/>
  <c r="AA16" i="8"/>
  <c r="AA15" i="8"/>
  <c r="AA14" i="8"/>
  <c r="AA13" i="8"/>
  <c r="AA12" i="8"/>
  <c r="AA11" i="8"/>
  <c r="AA10" i="8"/>
  <c r="AA9" i="8"/>
  <c r="AA8" i="8"/>
  <c r="AR56" i="23" l="1"/>
  <c r="AT88" i="23"/>
  <c r="R90" i="8"/>
  <c r="AD73" i="23"/>
  <c r="AR89" i="23"/>
  <c r="AT80" i="23"/>
  <c r="AD82" i="23"/>
  <c r="AR59" i="23"/>
  <c r="AD41" i="23"/>
  <c r="AD54" i="23"/>
  <c r="M54" i="8" s="1"/>
  <c r="AD30" i="23"/>
  <c r="M29" i="8" s="1"/>
  <c r="AD83" i="23"/>
  <c r="M85" i="8" s="1"/>
  <c r="AD62" i="23"/>
  <c r="M63" i="8" s="1"/>
  <c r="AD90" i="23"/>
  <c r="AD16" i="23"/>
  <c r="AD42" i="23"/>
  <c r="AD66" i="23"/>
  <c r="AD91" i="23"/>
  <c r="AD86" i="23"/>
  <c r="R88" i="8"/>
  <c r="AD37" i="23"/>
  <c r="AD17" i="23"/>
  <c r="M15" i="8" s="1"/>
  <c r="AD43" i="23"/>
  <c r="M43" i="8" s="1"/>
  <c r="AT67" i="23"/>
  <c r="AR67" i="23"/>
  <c r="AQ67" i="23"/>
  <c r="AD67" i="23"/>
  <c r="M68" i="8" s="1"/>
  <c r="AT92" i="23"/>
  <c r="R94" i="8"/>
  <c r="AD25" i="23"/>
  <c r="AD77" i="23"/>
  <c r="AD57" i="23"/>
  <c r="M58" i="8" s="1"/>
  <c r="AT32" i="23"/>
  <c r="AD33" i="23"/>
  <c r="AD18" i="23"/>
  <c r="AQ44" i="23"/>
  <c r="AQ68" i="23"/>
  <c r="AR93" i="23"/>
  <c r="AD26" i="23"/>
  <c r="M24" i="8" s="1"/>
  <c r="AD27" i="23"/>
  <c r="M25" i="8" s="1"/>
  <c r="AD55" i="23"/>
  <c r="M55" i="8" s="1"/>
  <c r="AD14" i="23"/>
  <c r="AD19" i="23"/>
  <c r="AD45" i="23"/>
  <c r="M45" i="8" s="1"/>
  <c r="AD69" i="23"/>
  <c r="M71" i="8" s="1"/>
  <c r="AD74" i="23"/>
  <c r="AD53" i="23"/>
  <c r="AD29" i="23"/>
  <c r="AD31" i="23"/>
  <c r="M30" i="8" s="1"/>
  <c r="AR63" i="23"/>
  <c r="AD65" i="23"/>
  <c r="M66" i="8" s="1"/>
  <c r="AD20" i="23"/>
  <c r="M18" i="8" s="1"/>
  <c r="AD46" i="23"/>
  <c r="M46" i="8" s="1"/>
  <c r="AD70" i="23"/>
  <c r="AD50" i="23"/>
  <c r="AD79" i="23"/>
  <c r="AD34" i="23"/>
  <c r="AD61" i="23"/>
  <c r="M62" i="8" s="1"/>
  <c r="AD13" i="23"/>
  <c r="M11" i="8" s="1"/>
  <c r="AD15" i="23"/>
  <c r="M13" i="8" s="1"/>
  <c r="AD21" i="23"/>
  <c r="M19" i="8" s="1"/>
  <c r="AT47" i="23"/>
  <c r="AD49" i="23"/>
  <c r="M49" i="8" s="1"/>
  <c r="AB78" i="8"/>
  <c r="AH78" i="8" s="1"/>
  <c r="R78" i="8"/>
  <c r="AD28" i="23"/>
  <c r="M27" i="8" s="1"/>
  <c r="AR81" i="23"/>
  <c r="AD58" i="23"/>
  <c r="AD11" i="23"/>
  <c r="M9" i="8" s="1"/>
  <c r="AD87" i="23"/>
  <c r="AD38" i="23"/>
  <c r="AD22" i="23"/>
  <c r="M20" i="8" s="1"/>
  <c r="AQ72" i="23"/>
  <c r="AQ79" i="23"/>
  <c r="AR14" i="23"/>
  <c r="AT90" i="23"/>
  <c r="AQ15" i="23"/>
  <c r="AT14" i="23"/>
  <c r="AT41" i="23"/>
  <c r="AQ42" i="23"/>
  <c r="AT42" i="23"/>
  <c r="AR42" i="23"/>
  <c r="AR90" i="23"/>
  <c r="AR53" i="23"/>
  <c r="AT53" i="23"/>
  <c r="AE70" i="23"/>
  <c r="N72" i="8" s="1"/>
  <c r="AR27" i="23"/>
  <c r="AR66" i="23"/>
  <c r="AT77" i="23"/>
  <c r="AE57" i="23"/>
  <c r="N58" i="8" s="1"/>
  <c r="AR15" i="23"/>
  <c r="AQ26" i="23"/>
  <c r="AT15" i="23"/>
  <c r="AQ54" i="23"/>
  <c r="AR65" i="23"/>
  <c r="AT65" i="23"/>
  <c r="AQ27" i="23"/>
  <c r="AT27" i="23"/>
  <c r="AC80" i="8"/>
  <c r="AI80" i="8" s="1"/>
  <c r="AQ86" i="23"/>
  <c r="AT86" i="23"/>
  <c r="AT62" i="23"/>
  <c r="AR26" i="23"/>
  <c r="AQ31" i="23"/>
  <c r="AQ61" i="23"/>
  <c r="AR61" i="23"/>
  <c r="AT37" i="23"/>
  <c r="AQ87" i="23"/>
  <c r="AR87" i="23"/>
  <c r="AQ38" i="23"/>
  <c r="AQ62" i="23"/>
  <c r="AT87" i="23"/>
  <c r="AQ14" i="23"/>
  <c r="AR38" i="23"/>
  <c r="AR54" i="23"/>
  <c r="AR62" i="23"/>
  <c r="AR31" i="23"/>
  <c r="AT31" i="23"/>
  <c r="AQ32" i="23"/>
  <c r="AQ41" i="23"/>
  <c r="AQ58" i="23"/>
  <c r="AQ77" i="23"/>
  <c r="AR77" i="23"/>
  <c r="Q96" i="23"/>
  <c r="X96" i="23"/>
  <c r="Y96" i="23"/>
  <c r="P96" i="23"/>
  <c r="AQ46" i="23"/>
  <c r="AT19" i="23"/>
  <c r="AR73" i="23"/>
  <c r="AT73" i="23"/>
  <c r="AT20" i="23"/>
  <c r="AU73" i="23"/>
  <c r="AQ49" i="23"/>
  <c r="AR49" i="23"/>
  <c r="AT49" i="23"/>
  <c r="AR22" i="23"/>
  <c r="AR55" i="23"/>
  <c r="AQ74" i="23"/>
  <c r="AQ93" i="23"/>
  <c r="AQ17" i="23"/>
  <c r="AT55" i="23"/>
  <c r="AT74" i="23"/>
  <c r="AR17" i="23"/>
  <c r="AR29" i="23"/>
  <c r="AT17" i="23"/>
  <c r="AQ50" i="23"/>
  <c r="AR43" i="23"/>
  <c r="AR50" i="23"/>
  <c r="AQ56" i="23"/>
  <c r="AT43" i="23"/>
  <c r="AT50" i="23"/>
  <c r="AQ13" i="23"/>
  <c r="AQ18" i="23"/>
  <c r="AQ30" i="23"/>
  <c r="AQ83" i="23"/>
  <c r="AT13" i="23"/>
  <c r="AT18" i="23"/>
  <c r="AT25" i="23"/>
  <c r="AT63" i="23"/>
  <c r="AQ70" i="23"/>
  <c r="AR83" i="23"/>
  <c r="AR19" i="23"/>
  <c r="AQ73" i="23"/>
  <c r="AQ20" i="23"/>
  <c r="AR20" i="23"/>
  <c r="R96" i="8"/>
  <c r="AT28" i="23"/>
  <c r="AR13" i="23"/>
  <c r="AR18" i="23"/>
  <c r="AR41" i="23"/>
  <c r="AQ53" i="23"/>
  <c r="AT54" i="23"/>
  <c r="AT61" i="23"/>
  <c r="AQ65" i="23"/>
  <c r="AR74" i="23"/>
  <c r="AT79" i="23"/>
  <c r="AR86" i="23"/>
  <c r="AQ90" i="23"/>
  <c r="AR40" i="23"/>
  <c r="AQ16" i="23"/>
  <c r="AQ25" i="23"/>
  <c r="AT26" i="23"/>
  <c r="AR30" i="23"/>
  <c r="AQ37" i="23"/>
  <c r="AT38" i="23"/>
  <c r="AT40" i="23"/>
  <c r="AR16" i="23"/>
  <c r="AQ22" i="23"/>
  <c r="AR25" i="23"/>
  <c r="AQ29" i="23"/>
  <c r="AT30" i="23"/>
  <c r="AQ34" i="23"/>
  <c r="AR37" i="23"/>
  <c r="AV40" i="23"/>
  <c r="AQ43" i="23"/>
  <c r="AQ55" i="23"/>
  <c r="AT16" i="23"/>
  <c r="AW40" i="23"/>
  <c r="AQ52" i="23"/>
  <c r="AQ19" i="23"/>
  <c r="AT29" i="23"/>
  <c r="AR52" i="23"/>
  <c r="AQ64" i="23"/>
  <c r="AQ76" i="23"/>
  <c r="AD94" i="23"/>
  <c r="M96" i="8" s="1"/>
  <c r="AX40" i="23"/>
  <c r="AT75" i="23"/>
  <c r="AT94" i="23"/>
  <c r="AR32" i="23"/>
  <c r="AD32" i="23"/>
  <c r="M31" i="8" s="1"/>
  <c r="AT44" i="23"/>
  <c r="AD44" i="23"/>
  <c r="M44" i="8" s="1"/>
  <c r="AD56" i="23"/>
  <c r="M57" i="8" s="1"/>
  <c r="AT68" i="23"/>
  <c r="AD68" i="23"/>
  <c r="M70" i="8" s="1"/>
  <c r="AT81" i="23"/>
  <c r="AD81" i="23"/>
  <c r="M83" i="8" s="1"/>
  <c r="AD93" i="23"/>
  <c r="M95" i="8" s="1"/>
  <c r="AQ21" i="23"/>
  <c r="AT22" i="23"/>
  <c r="AH40" i="23"/>
  <c r="AI40" i="23" s="1"/>
  <c r="AJ40" i="23" s="1"/>
  <c r="AK40" i="23" s="1"/>
  <c r="AL40" i="23" s="1"/>
  <c r="AQ66" i="23"/>
  <c r="AR79" i="23"/>
  <c r="AQ82" i="23"/>
  <c r="AT83" i="23"/>
  <c r="AQ89" i="23"/>
  <c r="AT23" i="23"/>
  <c r="AD23" i="23"/>
  <c r="M21" i="8" s="1"/>
  <c r="AD35" i="23"/>
  <c r="M34" i="8" s="1"/>
  <c r="AQ47" i="23"/>
  <c r="AD47" i="23"/>
  <c r="M47" i="8" s="1"/>
  <c r="AT59" i="23"/>
  <c r="AD59" i="23"/>
  <c r="M60" i="8" s="1"/>
  <c r="AD71" i="23"/>
  <c r="M73" i="8" s="1"/>
  <c r="AD84" i="23"/>
  <c r="M86" i="8" s="1"/>
  <c r="AR21" i="23"/>
  <c r="AR82" i="23"/>
  <c r="AD12" i="23"/>
  <c r="M10" i="8" s="1"/>
  <c r="AD24" i="23"/>
  <c r="M22" i="8" s="1"/>
  <c r="AD36" i="23"/>
  <c r="M35" i="8" s="1"/>
  <c r="AT48" i="23"/>
  <c r="AR60" i="23"/>
  <c r="AD60" i="23"/>
  <c r="M61" i="8" s="1"/>
  <c r="AD72" i="23"/>
  <c r="M74" i="8" s="1"/>
  <c r="AD85" i="23"/>
  <c r="M87" i="8" s="1"/>
  <c r="AT21" i="23"/>
  <c r="AQ28" i="23"/>
  <c r="AR34" i="23"/>
  <c r="AR46" i="23"/>
  <c r="AR58" i="23"/>
  <c r="AT66" i="23"/>
  <c r="AR70" i="23"/>
  <c r="AT82" i="23"/>
  <c r="AR28" i="23"/>
  <c r="AQ33" i="23"/>
  <c r="AT34" i="23"/>
  <c r="AQ40" i="23"/>
  <c r="AQ45" i="23"/>
  <c r="AT46" i="23"/>
  <c r="AQ57" i="23"/>
  <c r="AT58" i="23"/>
  <c r="AQ69" i="23"/>
  <c r="AT70" i="23"/>
  <c r="AR33" i="23"/>
  <c r="AR45" i="23"/>
  <c r="AR57" i="23"/>
  <c r="AR69" i="23"/>
  <c r="AR51" i="23"/>
  <c r="AD63" i="23"/>
  <c r="M64" i="8" s="1"/>
  <c r="AR75" i="23"/>
  <c r="AD75" i="23"/>
  <c r="M77" i="8" s="1"/>
  <c r="AQ88" i="23"/>
  <c r="AD88" i="23"/>
  <c r="M90" i="8" s="1"/>
  <c r="AT33" i="23"/>
  <c r="AT45" i="23"/>
  <c r="AT57" i="23"/>
  <c r="AT69" i="23"/>
  <c r="AT52" i="23"/>
  <c r="AD52" i="23"/>
  <c r="M52" i="8" s="1"/>
  <c r="AR64" i="23"/>
  <c r="AD64" i="23"/>
  <c r="M65" i="8" s="1"/>
  <c r="S65" i="8" s="1"/>
  <c r="AD76" i="23"/>
  <c r="M78" i="8" s="1"/>
  <c r="AT89" i="23"/>
  <c r="AD89" i="23"/>
  <c r="M91" i="8" s="1"/>
  <c r="AU40" i="23"/>
  <c r="AT64" i="23"/>
  <c r="AR72" i="23"/>
  <c r="AR76" i="23"/>
  <c r="AQ91" i="23"/>
  <c r="AT91" i="23"/>
  <c r="AR94" i="23"/>
  <c r="AQ80" i="23"/>
  <c r="AD80" i="23"/>
  <c r="M82" i="8" s="1"/>
  <c r="AR92" i="23"/>
  <c r="AD92" i="23"/>
  <c r="M94" i="8" s="1"/>
  <c r="AQ10" i="23"/>
  <c r="AD10" i="23"/>
  <c r="M8" i="8" s="1"/>
  <c r="AR10" i="23"/>
  <c r="AT10" i="23"/>
  <c r="AC95" i="23"/>
  <c r="AC96" i="23" s="1"/>
  <c r="AB8" i="8"/>
  <c r="AQ39" i="23"/>
  <c r="AR47" i="23"/>
  <c r="AQ59" i="23"/>
  <c r="AT60" i="23"/>
  <c r="AR80" i="23"/>
  <c r="AR88" i="23"/>
  <c r="AQ94" i="23"/>
  <c r="AQ12" i="23"/>
  <c r="AQ24" i="23"/>
  <c r="AR44" i="23"/>
  <c r="AQ51" i="23"/>
  <c r="AQ71" i="23"/>
  <c r="AT72" i="23"/>
  <c r="AQ92" i="23"/>
  <c r="AT93" i="23"/>
  <c r="AR12" i="23"/>
  <c r="AR24" i="23"/>
  <c r="AQ63" i="23"/>
  <c r="AR71" i="23"/>
  <c r="AQ85" i="23"/>
  <c r="AQ11" i="23"/>
  <c r="AT12" i="23"/>
  <c r="AQ23" i="23"/>
  <c r="AT24" i="23"/>
  <c r="AT71" i="23"/>
  <c r="AR85" i="23"/>
  <c r="AR11" i="23"/>
  <c r="AR23" i="23"/>
  <c r="AQ36" i="23"/>
  <c r="AQ84" i="23"/>
  <c r="AT85" i="23"/>
  <c r="AT11" i="23"/>
  <c r="AR36" i="23"/>
  <c r="AT56" i="23"/>
  <c r="AR68" i="23"/>
  <c r="AQ75" i="23"/>
  <c r="AT76" i="23"/>
  <c r="AR84" i="23"/>
  <c r="AQ35" i="23"/>
  <c r="AT36" i="23"/>
  <c r="AT84" i="23"/>
  <c r="AR35" i="23"/>
  <c r="AQ48" i="23"/>
  <c r="AQ81" i="23"/>
  <c r="AT35" i="23"/>
  <c r="AR48" i="23"/>
  <c r="AQ60" i="23"/>
  <c r="AP98" i="23"/>
  <c r="AP99" i="23"/>
  <c r="AP97" i="23"/>
  <c r="L97" i="23"/>
  <c r="I96" i="23"/>
  <c r="K96" i="23"/>
  <c r="AP95" i="23"/>
  <c r="M96" i="23"/>
  <c r="V97" i="23"/>
  <c r="AO98" i="23"/>
  <c r="AO95" i="23"/>
  <c r="AO97" i="23"/>
  <c r="AO99" i="23"/>
  <c r="H96" i="23"/>
  <c r="J96" i="23"/>
  <c r="W96" i="23"/>
  <c r="L96" i="23"/>
  <c r="N96" i="23"/>
  <c r="Z96" i="23"/>
  <c r="AO96" i="23"/>
  <c r="AP96" i="23"/>
  <c r="S96" i="23"/>
  <c r="AE87" i="23" l="1"/>
  <c r="N89" i="8" s="1"/>
  <c r="M89" i="8"/>
  <c r="AE38" i="23"/>
  <c r="N37" i="8" s="1"/>
  <c r="M37" i="8"/>
  <c r="AE58" i="23"/>
  <c r="N59" i="8" s="1"/>
  <c r="M59" i="8"/>
  <c r="AU42" i="23"/>
  <c r="M42" i="8"/>
  <c r="AU34" i="23"/>
  <c r="M33" i="8"/>
  <c r="AE86" i="23"/>
  <c r="N88" i="8" s="1"/>
  <c r="M88" i="8"/>
  <c r="S88" i="8" s="1"/>
  <c r="AE90" i="23"/>
  <c r="N92" i="8" s="1"/>
  <c r="M92" i="8"/>
  <c r="AE79" i="23"/>
  <c r="N81" i="8" s="1"/>
  <c r="T81" i="8" s="1"/>
  <c r="M81" i="8"/>
  <c r="S81" i="8" s="1"/>
  <c r="AU50" i="23"/>
  <c r="M79" i="8"/>
  <c r="S79" i="8" s="1"/>
  <c r="AE82" i="23"/>
  <c r="N84" i="8" s="1"/>
  <c r="M84" i="8"/>
  <c r="AE53" i="23"/>
  <c r="N53" i="8" s="1"/>
  <c r="M53" i="8"/>
  <c r="AU70" i="23"/>
  <c r="M72" i="8"/>
  <c r="AE25" i="23"/>
  <c r="N23" i="8" s="1"/>
  <c r="M23" i="8"/>
  <c r="AE91" i="23"/>
  <c r="N93" i="8" s="1"/>
  <c r="M93" i="8"/>
  <c r="AU66" i="23"/>
  <c r="M67" i="8"/>
  <c r="AU16" i="23"/>
  <c r="AU33" i="23"/>
  <c r="M32" i="8"/>
  <c r="AE73" i="23"/>
  <c r="N75" i="8" s="1"/>
  <c r="M75" i="8"/>
  <c r="AU74" i="23"/>
  <c r="M76" i="8"/>
  <c r="AE19" i="23"/>
  <c r="N17" i="8" s="1"/>
  <c r="M17" i="8"/>
  <c r="AE14" i="23"/>
  <c r="AF14" i="23" s="1"/>
  <c r="O12" i="8" s="1"/>
  <c r="M12" i="8"/>
  <c r="AE18" i="23"/>
  <c r="N16" i="8" s="1"/>
  <c r="M16" i="8"/>
  <c r="AE41" i="23"/>
  <c r="N41" i="8" s="1"/>
  <c r="M41" i="8"/>
  <c r="AU37" i="23"/>
  <c r="M36" i="8"/>
  <c r="AU29" i="23"/>
  <c r="M28" i="8"/>
  <c r="AU25" i="23"/>
  <c r="AE16" i="23"/>
  <c r="AU77" i="23"/>
  <c r="AE77" i="23"/>
  <c r="N79" i="8" s="1"/>
  <c r="AU19" i="23"/>
  <c r="AU58" i="23"/>
  <c r="AE66" i="23"/>
  <c r="AE42" i="23"/>
  <c r="AU14" i="23"/>
  <c r="AE22" i="23"/>
  <c r="AV22" i="23" s="1"/>
  <c r="AU15" i="23"/>
  <c r="AU57" i="23"/>
  <c r="AU13" i="23"/>
  <c r="AU45" i="23"/>
  <c r="AE34" i="23"/>
  <c r="AE11" i="23"/>
  <c r="AU11" i="23"/>
  <c r="AU28" i="23"/>
  <c r="AE46" i="23"/>
  <c r="AE55" i="23"/>
  <c r="AE43" i="23"/>
  <c r="AE54" i="23"/>
  <c r="AV54" i="23" s="1"/>
  <c r="AU46" i="23"/>
  <c r="AE20" i="23"/>
  <c r="AU54" i="23"/>
  <c r="AE30" i="23"/>
  <c r="AU31" i="23"/>
  <c r="AU61" i="23"/>
  <c r="AU22" i="23"/>
  <c r="AU55" i="23"/>
  <c r="AE45" i="23"/>
  <c r="AF45" i="23" s="1"/>
  <c r="O45" i="8" s="1"/>
  <c r="AE28" i="23"/>
  <c r="AU18" i="23"/>
  <c r="AU69" i="23"/>
  <c r="AE17" i="23"/>
  <c r="L99" i="8"/>
  <c r="L102" i="8"/>
  <c r="AV41" i="23"/>
  <c r="AV86" i="23"/>
  <c r="T88" i="8"/>
  <c r="AE67" i="23"/>
  <c r="N68" i="8" s="1"/>
  <c r="S68" i="8"/>
  <c r="L100" i="8"/>
  <c r="R68" i="8"/>
  <c r="AU93" i="23"/>
  <c r="AU81" i="23"/>
  <c r="AE15" i="23"/>
  <c r="N13" i="8" s="1"/>
  <c r="AU86" i="23"/>
  <c r="AU87" i="23"/>
  <c r="AE61" i="23"/>
  <c r="N62" i="8" s="1"/>
  <c r="AU91" i="23"/>
  <c r="AE65" i="23"/>
  <c r="AU20" i="23"/>
  <c r="AU89" i="23"/>
  <c r="L101" i="8"/>
  <c r="AU27" i="23"/>
  <c r="AV87" i="23"/>
  <c r="AU79" i="23"/>
  <c r="AE49" i="23"/>
  <c r="N49" i="8" s="1"/>
  <c r="AU83" i="23"/>
  <c r="AU84" i="23"/>
  <c r="AU49" i="23"/>
  <c r="AU53" i="23"/>
  <c r="AE13" i="23"/>
  <c r="N11" i="8" s="1"/>
  <c r="AE50" i="23"/>
  <c r="AE29" i="23"/>
  <c r="AB79" i="8"/>
  <c r="AH79" i="8" s="1"/>
  <c r="R79" i="8"/>
  <c r="AV57" i="23"/>
  <c r="AE37" i="23"/>
  <c r="AV91" i="23"/>
  <c r="AE27" i="23"/>
  <c r="N25" i="8" s="1"/>
  <c r="AE26" i="23"/>
  <c r="N24" i="8" s="1"/>
  <c r="AU65" i="23"/>
  <c r="AV25" i="23"/>
  <c r="AU62" i="23"/>
  <c r="AU17" i="23"/>
  <c r="AE83" i="23"/>
  <c r="AU21" i="23"/>
  <c r="AU26" i="23"/>
  <c r="R81" i="8"/>
  <c r="AV58" i="23"/>
  <c r="AU85" i="23"/>
  <c r="AU41" i="23"/>
  <c r="AU82" i="23"/>
  <c r="AV70" i="23"/>
  <c r="AE62" i="23"/>
  <c r="AE31" i="23"/>
  <c r="AU43" i="23"/>
  <c r="AU38" i="23"/>
  <c r="AE33" i="23"/>
  <c r="AE74" i="23"/>
  <c r="AU30" i="23"/>
  <c r="AU80" i="23"/>
  <c r="AE21" i="23"/>
  <c r="AE69" i="23"/>
  <c r="AU90" i="23"/>
  <c r="S94" i="8"/>
  <c r="AU92" i="23"/>
  <c r="S90" i="8"/>
  <c r="AU88" i="23"/>
  <c r="S96" i="8"/>
  <c r="AU94" i="23"/>
  <c r="S78" i="8"/>
  <c r="AC78" i="8"/>
  <c r="AI78" i="8" s="1"/>
  <c r="AU72" i="23"/>
  <c r="AU24" i="23"/>
  <c r="AF70" i="23"/>
  <c r="O72" i="8" s="1"/>
  <c r="AF41" i="23"/>
  <c r="O41" i="8" s="1"/>
  <c r="AU59" i="23"/>
  <c r="AU35" i="23"/>
  <c r="AF25" i="23"/>
  <c r="O23" i="8" s="1"/>
  <c r="AU71" i="23"/>
  <c r="AF16" i="23"/>
  <c r="AF86" i="23"/>
  <c r="O88" i="8" s="1"/>
  <c r="AF58" i="23"/>
  <c r="O59" i="8" s="1"/>
  <c r="AF57" i="23"/>
  <c r="O58" i="8" s="1"/>
  <c r="AF38" i="23"/>
  <c r="O37" i="8" s="1"/>
  <c r="AV38" i="23"/>
  <c r="AU23" i="23"/>
  <c r="AU36" i="23"/>
  <c r="AV16" i="23"/>
  <c r="AF91" i="23"/>
  <c r="O93" i="8" s="1"/>
  <c r="AU48" i="23"/>
  <c r="AU67" i="23"/>
  <c r="AF87" i="23"/>
  <c r="O89" i="8" s="1"/>
  <c r="AF77" i="23"/>
  <c r="O79" i="8" s="1"/>
  <c r="AD80" i="8"/>
  <c r="AJ80" i="8" s="1"/>
  <c r="AU47" i="23"/>
  <c r="AQ97" i="23"/>
  <c r="AQ98" i="23"/>
  <c r="AQ95" i="23"/>
  <c r="AQ99" i="23"/>
  <c r="AR98" i="23"/>
  <c r="AE64" i="23"/>
  <c r="N65" i="8" s="1"/>
  <c r="T65" i="8" s="1"/>
  <c r="AU64" i="23"/>
  <c r="AU51" i="23"/>
  <c r="AE81" i="23"/>
  <c r="N83" i="8" s="1"/>
  <c r="AE52" i="23"/>
  <c r="N52" i="8" s="1"/>
  <c r="AU52" i="23"/>
  <c r="AE68" i="23"/>
  <c r="N70" i="8" s="1"/>
  <c r="AU68" i="23"/>
  <c r="AU39" i="23"/>
  <c r="AE48" i="23"/>
  <c r="N48" i="8" s="1"/>
  <c r="AE47" i="23"/>
  <c r="N47" i="8" s="1"/>
  <c r="AE56" i="23"/>
  <c r="N57" i="8" s="1"/>
  <c r="AE92" i="23"/>
  <c r="N94" i="8" s="1"/>
  <c r="AE36" i="23"/>
  <c r="N35" i="8" s="1"/>
  <c r="AE35" i="23"/>
  <c r="N34" i="8" s="1"/>
  <c r="AU56" i="23"/>
  <c r="AE44" i="23"/>
  <c r="N44" i="8" s="1"/>
  <c r="AU44" i="23"/>
  <c r="AE88" i="23"/>
  <c r="N90" i="8" s="1"/>
  <c r="AE80" i="23"/>
  <c r="N82" i="8" s="1"/>
  <c r="AE24" i="23"/>
  <c r="N22" i="8" s="1"/>
  <c r="AE23" i="23"/>
  <c r="N21" i="8" s="1"/>
  <c r="AE59" i="23"/>
  <c r="N60" i="8" s="1"/>
  <c r="AE89" i="23"/>
  <c r="N91" i="8" s="1"/>
  <c r="AE75" i="23"/>
  <c r="N77" i="8" s="1"/>
  <c r="AU75" i="23"/>
  <c r="AE32" i="23"/>
  <c r="N31" i="8" s="1"/>
  <c r="AU32" i="23"/>
  <c r="AE85" i="23"/>
  <c r="N87" i="8" s="1"/>
  <c r="AE12" i="23"/>
  <c r="N10" i="8" s="1"/>
  <c r="AE84" i="23"/>
  <c r="N86" i="8" s="1"/>
  <c r="AE76" i="23"/>
  <c r="N78" i="8" s="1"/>
  <c r="AE63" i="23"/>
  <c r="N64" i="8" s="1"/>
  <c r="AU12" i="23"/>
  <c r="AE93" i="23"/>
  <c r="N95" i="8" s="1"/>
  <c r="AE94" i="23"/>
  <c r="N96" i="8" s="1"/>
  <c r="AE60" i="23"/>
  <c r="N61" i="8" s="1"/>
  <c r="AU60" i="23"/>
  <c r="AU76" i="23"/>
  <c r="AU63" i="23"/>
  <c r="AE72" i="23"/>
  <c r="N74" i="8" s="1"/>
  <c r="AE71" i="23"/>
  <c r="N73" i="8" s="1"/>
  <c r="AE10" i="23"/>
  <c r="N8" i="8" s="1"/>
  <c r="AD95" i="23"/>
  <c r="AD96" i="23" s="1"/>
  <c r="AU10" i="23"/>
  <c r="AQ96" i="23"/>
  <c r="AR97" i="23"/>
  <c r="AR99" i="23"/>
  <c r="AR96" i="23"/>
  <c r="AR95" i="23"/>
  <c r="AV82" i="23" l="1"/>
  <c r="AV77" i="23"/>
  <c r="AC79" i="8"/>
  <c r="AI79" i="8" s="1"/>
  <c r="AF53" i="23"/>
  <c r="O53" i="8" s="1"/>
  <c r="AF42" i="23"/>
  <c r="O42" i="8" s="1"/>
  <c r="N42" i="8"/>
  <c r="AF19" i="23"/>
  <c r="O17" i="8" s="1"/>
  <c r="AF74" i="23"/>
  <c r="O76" i="8" s="1"/>
  <c r="N76" i="8"/>
  <c r="AF66" i="23"/>
  <c r="O67" i="8" s="1"/>
  <c r="N67" i="8"/>
  <c r="AF69" i="23"/>
  <c r="O71" i="8" s="1"/>
  <c r="N71" i="8"/>
  <c r="AF33" i="23"/>
  <c r="O32" i="8" s="1"/>
  <c r="N32" i="8"/>
  <c r="AV79" i="23"/>
  <c r="AF79" i="23"/>
  <c r="O81" i="8" s="1"/>
  <c r="U81" i="8" s="1"/>
  <c r="AF31" i="23"/>
  <c r="O30" i="8" s="1"/>
  <c r="N30" i="8"/>
  <c r="AV19" i="23"/>
  <c r="AF83" i="23"/>
  <c r="O85" i="8" s="1"/>
  <c r="N85" i="8"/>
  <c r="AV18" i="23"/>
  <c r="AV73" i="23"/>
  <c r="AF34" i="23"/>
  <c r="O33" i="8" s="1"/>
  <c r="N33" i="8"/>
  <c r="AF82" i="23"/>
  <c r="O84" i="8" s="1"/>
  <c r="AF20" i="23"/>
  <c r="O18" i="8" s="1"/>
  <c r="N18" i="8"/>
  <c r="AV11" i="23"/>
  <c r="N9" i="8"/>
  <c r="AV14" i="23"/>
  <c r="N12" i="8"/>
  <c r="AF73" i="23"/>
  <c r="O75" i="8" s="1"/>
  <c r="AF18" i="23"/>
  <c r="O16" i="8" s="1"/>
  <c r="AV53" i="23"/>
  <c r="AV90" i="23"/>
  <c r="AF54" i="23"/>
  <c r="O54" i="8" s="1"/>
  <c r="N54" i="8"/>
  <c r="AF21" i="23"/>
  <c r="O19" i="8" s="1"/>
  <c r="N19" i="8"/>
  <c r="AV42" i="23"/>
  <c r="AV28" i="23"/>
  <c r="N27" i="8"/>
  <c r="AF90" i="23"/>
  <c r="O92" i="8" s="1"/>
  <c r="AV43" i="23"/>
  <c r="N43" i="8"/>
  <c r="AV17" i="23"/>
  <c r="N15" i="8"/>
  <c r="AF55" i="23"/>
  <c r="O55" i="8" s="1"/>
  <c r="N55" i="8"/>
  <c r="AV65" i="23"/>
  <c r="N66" i="8"/>
  <c r="AF62" i="23"/>
  <c r="O63" i="8" s="1"/>
  <c r="N63" i="8"/>
  <c r="AV46" i="23"/>
  <c r="N46" i="8"/>
  <c r="AV45" i="23"/>
  <c r="N45" i="8"/>
  <c r="AF37" i="23"/>
  <c r="O36" i="8" s="1"/>
  <c r="N36" i="8"/>
  <c r="AV30" i="23"/>
  <c r="N29" i="8"/>
  <c r="AF29" i="23"/>
  <c r="O28" i="8" s="1"/>
  <c r="N28" i="8"/>
  <c r="AF22" i="23"/>
  <c r="O20" i="8" s="1"/>
  <c r="N20" i="8"/>
  <c r="AF65" i="23"/>
  <c r="O66" i="8" s="1"/>
  <c r="AV55" i="23"/>
  <c r="AV66" i="23"/>
  <c r="AV20" i="23"/>
  <c r="AF11" i="23"/>
  <c r="O9" i="8" s="1"/>
  <c r="AF46" i="23"/>
  <c r="O46" i="8" s="1"/>
  <c r="AV34" i="23"/>
  <c r="AF43" i="23"/>
  <c r="AF30" i="23"/>
  <c r="AF28" i="23"/>
  <c r="O27" i="8" s="1"/>
  <c r="AF17" i="23"/>
  <c r="AV50" i="23"/>
  <c r="AF50" i="23"/>
  <c r="AV13" i="23"/>
  <c r="T96" i="8"/>
  <c r="AV61" i="23"/>
  <c r="AV69" i="23"/>
  <c r="AV26" i="23"/>
  <c r="AV33" i="23"/>
  <c r="T94" i="8"/>
  <c r="AF61" i="23"/>
  <c r="O62" i="8" s="1"/>
  <c r="AV15" i="23"/>
  <c r="AF67" i="23"/>
  <c r="O68" i="8" s="1"/>
  <c r="T68" i="8"/>
  <c r="AV49" i="23"/>
  <c r="T90" i="8"/>
  <c r="AV31" i="23"/>
  <c r="AV21" i="23"/>
  <c r="AV37" i="23"/>
  <c r="AV74" i="23"/>
  <c r="AV27" i="23"/>
  <c r="AF49" i="23"/>
  <c r="O49" i="8" s="1"/>
  <c r="AF27" i="23"/>
  <c r="O25" i="8" s="1"/>
  <c r="AF26" i="23"/>
  <c r="AV62" i="23"/>
  <c r="AV83" i="23"/>
  <c r="AF13" i="23"/>
  <c r="O11" i="8" s="1"/>
  <c r="AV29" i="23"/>
  <c r="AF15" i="23"/>
  <c r="O13" i="8" s="1"/>
  <c r="T78" i="8"/>
  <c r="AD78" i="8"/>
  <c r="AJ78" i="8" s="1"/>
  <c r="T79" i="8"/>
  <c r="AD79" i="8"/>
  <c r="AJ79" i="8" s="1"/>
  <c r="U79" i="8"/>
  <c r="AE79" i="8"/>
  <c r="AK79" i="8" s="1"/>
  <c r="AG66" i="23"/>
  <c r="P67" i="8" s="1"/>
  <c r="AW66" i="23"/>
  <c r="AG69" i="23"/>
  <c r="P71" i="8" s="1"/>
  <c r="AW69" i="23"/>
  <c r="AG38" i="23"/>
  <c r="P37" i="8" s="1"/>
  <c r="AW38" i="23"/>
  <c r="AG14" i="23"/>
  <c r="P12" i="8" s="1"/>
  <c r="AW14" i="23"/>
  <c r="AG74" i="23"/>
  <c r="P76" i="8" s="1"/>
  <c r="AW74" i="23"/>
  <c r="AG70" i="23"/>
  <c r="P72" i="8" s="1"/>
  <c r="AW70" i="23"/>
  <c r="AG53" i="23"/>
  <c r="P53" i="8" s="1"/>
  <c r="AW53" i="23"/>
  <c r="AG25" i="23"/>
  <c r="P23" i="8" s="1"/>
  <c r="AW25" i="23"/>
  <c r="AG16" i="23"/>
  <c r="AW16" i="23"/>
  <c r="AW21" i="23"/>
  <c r="AG57" i="23"/>
  <c r="P58" i="8" s="1"/>
  <c r="AW57" i="23"/>
  <c r="AG45" i="23"/>
  <c r="P45" i="8" s="1"/>
  <c r="AW45" i="23"/>
  <c r="AG41" i="23"/>
  <c r="P41" i="8" s="1"/>
  <c r="AW41" i="23"/>
  <c r="AW28" i="23"/>
  <c r="AG58" i="23"/>
  <c r="P59" i="8" s="1"/>
  <c r="AW58" i="23"/>
  <c r="AG86" i="23"/>
  <c r="P88" i="8" s="1"/>
  <c r="U88" i="8"/>
  <c r="AW86" i="23"/>
  <c r="AG91" i="23"/>
  <c r="P93" i="8" s="1"/>
  <c r="AW91" i="23"/>
  <c r="AG34" i="23"/>
  <c r="P33" i="8" s="1"/>
  <c r="AW34" i="23"/>
  <c r="AG73" i="23"/>
  <c r="P75" i="8" s="1"/>
  <c r="AW73" i="23"/>
  <c r="AG82" i="23"/>
  <c r="P84" i="8" s="1"/>
  <c r="AW82" i="23"/>
  <c r="AG42" i="23"/>
  <c r="P42" i="8" s="1"/>
  <c r="AW42" i="23"/>
  <c r="AG87" i="23"/>
  <c r="P89" i="8" s="1"/>
  <c r="AW87" i="23"/>
  <c r="AG77" i="23"/>
  <c r="P79" i="8" s="1"/>
  <c r="AE80" i="8"/>
  <c r="AK80" i="8" s="1"/>
  <c r="AW77" i="23"/>
  <c r="AG19" i="23"/>
  <c r="P17" i="8" s="1"/>
  <c r="AF71" i="23"/>
  <c r="O73" i="8" s="1"/>
  <c r="AV71" i="23"/>
  <c r="AF85" i="23"/>
  <c r="O87" i="8" s="1"/>
  <c r="AV85" i="23"/>
  <c r="AF59" i="23"/>
  <c r="O60" i="8" s="1"/>
  <c r="AV59" i="23"/>
  <c r="AF52" i="23"/>
  <c r="O52" i="8" s="1"/>
  <c r="AV52" i="23"/>
  <c r="AF44" i="23"/>
  <c r="O44" i="8" s="1"/>
  <c r="AV44" i="23"/>
  <c r="AF47" i="23"/>
  <c r="O47" i="8" s="1"/>
  <c r="AV47" i="23"/>
  <c r="AF72" i="23"/>
  <c r="O74" i="8" s="1"/>
  <c r="AV72" i="23"/>
  <c r="AV67" i="23"/>
  <c r="AF23" i="23"/>
  <c r="O21" i="8" s="1"/>
  <c r="AV23" i="23"/>
  <c r="AF81" i="23"/>
  <c r="O83" i="8" s="1"/>
  <c r="AV81" i="23"/>
  <c r="AF48" i="23"/>
  <c r="O48" i="8" s="1"/>
  <c r="AV48" i="23"/>
  <c r="AF63" i="23"/>
  <c r="O64" i="8" s="1"/>
  <c r="AV63" i="23"/>
  <c r="AF24" i="23"/>
  <c r="O22" i="8" s="1"/>
  <c r="AV24" i="23"/>
  <c r="AF35" i="23"/>
  <c r="O34" i="8" s="1"/>
  <c r="AV35" i="23"/>
  <c r="AV51" i="23"/>
  <c r="AF32" i="23"/>
  <c r="O31" i="8" s="1"/>
  <c r="AV32" i="23"/>
  <c r="AF76" i="23"/>
  <c r="O78" i="8" s="1"/>
  <c r="AV76" i="23"/>
  <c r="AF36" i="23"/>
  <c r="O35" i="8" s="1"/>
  <c r="AV36" i="23"/>
  <c r="AF60" i="23"/>
  <c r="O61" i="8" s="1"/>
  <c r="AV60" i="23"/>
  <c r="AF80" i="23"/>
  <c r="O82" i="8" s="1"/>
  <c r="AV80" i="23"/>
  <c r="AF68" i="23"/>
  <c r="O70" i="8" s="1"/>
  <c r="AV68" i="23"/>
  <c r="AF64" i="23"/>
  <c r="O65" i="8" s="1"/>
  <c r="U65" i="8" s="1"/>
  <c r="AV64" i="23"/>
  <c r="AF94" i="23"/>
  <c r="O96" i="8" s="1"/>
  <c r="AV94" i="23"/>
  <c r="AF92" i="23"/>
  <c r="O94" i="8" s="1"/>
  <c r="AV92" i="23"/>
  <c r="AV39" i="23"/>
  <c r="AF88" i="23"/>
  <c r="O90" i="8" s="1"/>
  <c r="AV88" i="23"/>
  <c r="AF84" i="23"/>
  <c r="O86" i="8" s="1"/>
  <c r="AV84" i="23"/>
  <c r="AF75" i="23"/>
  <c r="O77" i="8" s="1"/>
  <c r="AV75" i="23"/>
  <c r="AF12" i="23"/>
  <c r="O10" i="8" s="1"/>
  <c r="AV12" i="23"/>
  <c r="AF89" i="23"/>
  <c r="O91" i="8" s="1"/>
  <c r="AV89" i="23"/>
  <c r="AF93" i="23"/>
  <c r="O95" i="8" s="1"/>
  <c r="AV93" i="23"/>
  <c r="AF56" i="23"/>
  <c r="O57" i="8" s="1"/>
  <c r="AV56" i="23"/>
  <c r="AF10" i="23"/>
  <c r="O8" i="8" s="1"/>
  <c r="AE95" i="23"/>
  <c r="AE96" i="23" s="1"/>
  <c r="AV10" i="23"/>
  <c r="AW37" i="23" l="1"/>
  <c r="AG37" i="23"/>
  <c r="P36" i="8" s="1"/>
  <c r="AG21" i="23"/>
  <c r="P19" i="8" s="1"/>
  <c r="AG62" i="23"/>
  <c r="P63" i="8" s="1"/>
  <c r="AW62" i="23"/>
  <c r="AW20" i="23"/>
  <c r="AG31" i="23"/>
  <c r="P30" i="8" s="1"/>
  <c r="AG90" i="23"/>
  <c r="P92" i="8" s="1"/>
  <c r="AW31" i="23"/>
  <c r="AW19" i="23"/>
  <c r="AW18" i="23"/>
  <c r="AG18" i="23"/>
  <c r="P16" i="8" s="1"/>
  <c r="AG28" i="23"/>
  <c r="P27" i="8" s="1"/>
  <c r="AW22" i="23"/>
  <c r="AG20" i="23"/>
  <c r="P18" i="8" s="1"/>
  <c r="AW33" i="23"/>
  <c r="AW55" i="23"/>
  <c r="AG79" i="23"/>
  <c r="P81" i="8" s="1"/>
  <c r="V81" i="8" s="1"/>
  <c r="AG33" i="23"/>
  <c r="P32" i="8" s="1"/>
  <c r="AW79" i="23"/>
  <c r="AW83" i="23"/>
  <c r="AG50" i="23"/>
  <c r="AG83" i="23"/>
  <c r="P85" i="8" s="1"/>
  <c r="AW17" i="23"/>
  <c r="O15" i="8"/>
  <c r="AG26" i="23"/>
  <c r="P24" i="8" s="1"/>
  <c r="O24" i="8"/>
  <c r="AG55" i="23"/>
  <c r="P55" i="8" s="1"/>
  <c r="AW11" i="23"/>
  <c r="AW54" i="23"/>
  <c r="AW90" i="23"/>
  <c r="AG11" i="23"/>
  <c r="P9" i="8" s="1"/>
  <c r="AG54" i="23"/>
  <c r="P54" i="8" s="1"/>
  <c r="AG43" i="23"/>
  <c r="P43" i="8" s="1"/>
  <c r="O43" i="8"/>
  <c r="AG29" i="23"/>
  <c r="P28" i="8" s="1"/>
  <c r="AW29" i="23"/>
  <c r="AG22" i="23"/>
  <c r="P20" i="8" s="1"/>
  <c r="AG65" i="23"/>
  <c r="P66" i="8" s="1"/>
  <c r="AW65" i="23"/>
  <c r="AG46" i="23"/>
  <c r="P46" i="8" s="1"/>
  <c r="AW46" i="23"/>
  <c r="AW30" i="23"/>
  <c r="O29" i="8"/>
  <c r="AG30" i="23"/>
  <c r="P29" i="8" s="1"/>
  <c r="AW43" i="23"/>
  <c r="AG17" i="23"/>
  <c r="P15" i="8" s="1"/>
  <c r="AW50" i="23"/>
  <c r="AW26" i="23"/>
  <c r="AG15" i="23"/>
  <c r="P13" i="8" s="1"/>
  <c r="AW13" i="23"/>
  <c r="AG13" i="23"/>
  <c r="P11" i="8" s="1"/>
  <c r="AG27" i="23"/>
  <c r="P25" i="8" s="1"/>
  <c r="AG67" i="23"/>
  <c r="U68" i="8"/>
  <c r="U90" i="8"/>
  <c r="U94" i="8"/>
  <c r="AW61" i="23"/>
  <c r="AG61" i="23"/>
  <c r="U96" i="8"/>
  <c r="AW49" i="23"/>
  <c r="AG49" i="23"/>
  <c r="P49" i="8" s="1"/>
  <c r="AW27" i="23"/>
  <c r="AW15" i="23"/>
  <c r="V79" i="8"/>
  <c r="AF79" i="8"/>
  <c r="AL79" i="8" s="1"/>
  <c r="U78" i="8"/>
  <c r="AE78" i="8"/>
  <c r="AK78" i="8" s="1"/>
  <c r="AX70" i="23"/>
  <c r="AH70" i="23"/>
  <c r="AI70" i="23" s="1"/>
  <c r="AJ70" i="23" s="1"/>
  <c r="AK70" i="23" s="1"/>
  <c r="AL70" i="23" s="1"/>
  <c r="AX20" i="23"/>
  <c r="AH57" i="23"/>
  <c r="AI57" i="23" s="1"/>
  <c r="AJ57" i="23" s="1"/>
  <c r="AK57" i="23" s="1"/>
  <c r="AL57" i="23" s="1"/>
  <c r="AX57" i="23"/>
  <c r="AX62" i="23"/>
  <c r="AH62" i="23"/>
  <c r="AI62" i="23" s="1"/>
  <c r="AJ62" i="23" s="1"/>
  <c r="AK62" i="23" s="1"/>
  <c r="AL62" i="23" s="1"/>
  <c r="AX53" i="23"/>
  <c r="AH53" i="23"/>
  <c r="AI53" i="23" s="1"/>
  <c r="AJ53" i="23" s="1"/>
  <c r="AK53" i="23" s="1"/>
  <c r="AL53" i="23" s="1"/>
  <c r="AX21" i="23"/>
  <c r="AH21" i="23"/>
  <c r="AI21" i="23" s="1"/>
  <c r="AJ21" i="23" s="1"/>
  <c r="AK21" i="23" s="1"/>
  <c r="AL21" i="23" s="1"/>
  <c r="AX74" i="23"/>
  <c r="AH74" i="23"/>
  <c r="AI74" i="23" s="1"/>
  <c r="AJ74" i="23" s="1"/>
  <c r="AK74" i="23" s="1"/>
  <c r="AL74" i="23" s="1"/>
  <c r="AH31" i="23"/>
  <c r="AI31" i="23" s="1"/>
  <c r="AJ31" i="23" s="1"/>
  <c r="AK31" i="23" s="1"/>
  <c r="AL31" i="23" s="1"/>
  <c r="AX31" i="23"/>
  <c r="AX69" i="23"/>
  <c r="AH69" i="23"/>
  <c r="AI69" i="23" s="1"/>
  <c r="AJ69" i="23" s="1"/>
  <c r="AK69" i="23" s="1"/>
  <c r="AL69" i="23" s="1"/>
  <c r="AH45" i="23"/>
  <c r="AI45" i="23" s="1"/>
  <c r="AJ45" i="23" s="1"/>
  <c r="AK45" i="23" s="1"/>
  <c r="AL45" i="23" s="1"/>
  <c r="AX45" i="23"/>
  <c r="AX58" i="23"/>
  <c r="AH58" i="23"/>
  <c r="AI58" i="23" s="1"/>
  <c r="AJ58" i="23" s="1"/>
  <c r="AK58" i="23" s="1"/>
  <c r="AL58" i="23" s="1"/>
  <c r="AH28" i="23"/>
  <c r="AI28" i="23" s="1"/>
  <c r="AJ28" i="23" s="1"/>
  <c r="AK28" i="23" s="1"/>
  <c r="AL28" i="23" s="1"/>
  <c r="AX66" i="23"/>
  <c r="AH66" i="23"/>
  <c r="AI66" i="23" s="1"/>
  <c r="AJ66" i="23" s="1"/>
  <c r="AK66" i="23" s="1"/>
  <c r="AL66" i="23" s="1"/>
  <c r="AX41" i="23"/>
  <c r="AH41" i="23"/>
  <c r="AI41" i="23" s="1"/>
  <c r="AJ41" i="23" s="1"/>
  <c r="AK41" i="23" s="1"/>
  <c r="AL41" i="23" s="1"/>
  <c r="AX14" i="23"/>
  <c r="AH14" i="23"/>
  <c r="AI14" i="23" s="1"/>
  <c r="AJ14" i="23" s="1"/>
  <c r="AK14" i="23" s="1"/>
  <c r="AL14" i="23" s="1"/>
  <c r="AH16" i="23"/>
  <c r="AI16" i="23" s="1"/>
  <c r="AJ16" i="23" s="1"/>
  <c r="AK16" i="23" s="1"/>
  <c r="AL16" i="23" s="1"/>
  <c r="AX16" i="23"/>
  <c r="AX38" i="23"/>
  <c r="AH38" i="23"/>
  <c r="AI38" i="23" s="1"/>
  <c r="AJ38" i="23" s="1"/>
  <c r="AK38" i="23" s="1"/>
  <c r="AL38" i="23" s="1"/>
  <c r="AH86" i="23"/>
  <c r="AI86" i="23" s="1"/>
  <c r="AJ86" i="23" s="1"/>
  <c r="AK86" i="23" s="1"/>
  <c r="AL86" i="23" s="1"/>
  <c r="V88" i="8"/>
  <c r="AX86" i="23"/>
  <c r="AX25" i="23"/>
  <c r="AH25" i="23"/>
  <c r="AI25" i="23" s="1"/>
  <c r="AJ25" i="23" s="1"/>
  <c r="AK25" i="23" s="1"/>
  <c r="AL25" i="23" s="1"/>
  <c r="AX17" i="23"/>
  <c r="AH17" i="23"/>
  <c r="AI17" i="23" s="1"/>
  <c r="AJ17" i="23" s="1"/>
  <c r="AK17" i="23" s="1"/>
  <c r="AL17" i="23" s="1"/>
  <c r="AH91" i="23"/>
  <c r="AI91" i="23" s="1"/>
  <c r="AJ91" i="23" s="1"/>
  <c r="AK91" i="23" s="1"/>
  <c r="AL91" i="23" s="1"/>
  <c r="AX91" i="23"/>
  <c r="AH37" i="23"/>
  <c r="AI37" i="23" s="1"/>
  <c r="AJ37" i="23" s="1"/>
  <c r="AK37" i="23" s="1"/>
  <c r="AL37" i="23" s="1"/>
  <c r="AX37" i="23"/>
  <c r="AX34" i="23"/>
  <c r="AH34" i="23"/>
  <c r="AI34" i="23" s="1"/>
  <c r="AJ34" i="23" s="1"/>
  <c r="AK34" i="23" s="1"/>
  <c r="AL34" i="23" s="1"/>
  <c r="AH90" i="23"/>
  <c r="AI90" i="23" s="1"/>
  <c r="AJ90" i="23" s="1"/>
  <c r="AK90" i="23" s="1"/>
  <c r="AL90" i="23" s="1"/>
  <c r="AX90" i="23"/>
  <c r="AX73" i="23"/>
  <c r="AH73" i="23"/>
  <c r="AI73" i="23" s="1"/>
  <c r="AJ73" i="23" s="1"/>
  <c r="AK73" i="23" s="1"/>
  <c r="AL73" i="23" s="1"/>
  <c r="AX82" i="23"/>
  <c r="AH82" i="23"/>
  <c r="AI82" i="23" s="1"/>
  <c r="AJ82" i="23" s="1"/>
  <c r="AK82" i="23" s="1"/>
  <c r="AL82" i="23" s="1"/>
  <c r="AX42" i="23"/>
  <c r="AH42" i="23"/>
  <c r="AI42" i="23" s="1"/>
  <c r="AJ42" i="23" s="1"/>
  <c r="AK42" i="23" s="1"/>
  <c r="AL42" i="23" s="1"/>
  <c r="AH87" i="23"/>
  <c r="AI87" i="23" s="1"/>
  <c r="AJ87" i="23" s="1"/>
  <c r="AK87" i="23" s="1"/>
  <c r="AL87" i="23" s="1"/>
  <c r="AX87" i="23"/>
  <c r="AF80" i="8"/>
  <c r="AL80" i="8" s="1"/>
  <c r="AH77" i="23"/>
  <c r="AI77" i="23" s="1"/>
  <c r="AJ77" i="23" s="1"/>
  <c r="AK77" i="23" s="1"/>
  <c r="AL77" i="23" s="1"/>
  <c r="AX77" i="23"/>
  <c r="AH65" i="23"/>
  <c r="AI65" i="23" s="1"/>
  <c r="AJ65" i="23" s="1"/>
  <c r="AK65" i="23" s="1"/>
  <c r="AL65" i="23" s="1"/>
  <c r="AH19" i="23"/>
  <c r="AI19" i="23" s="1"/>
  <c r="AJ19" i="23" s="1"/>
  <c r="AK19" i="23" s="1"/>
  <c r="AL19" i="23" s="1"/>
  <c r="AX19" i="23"/>
  <c r="AG56" i="23"/>
  <c r="P57" i="8" s="1"/>
  <c r="AW56" i="23"/>
  <c r="AG75" i="23"/>
  <c r="P77" i="8" s="1"/>
  <c r="AW75" i="23"/>
  <c r="AG92" i="23"/>
  <c r="P94" i="8" s="1"/>
  <c r="AW92" i="23"/>
  <c r="AG80" i="23"/>
  <c r="P82" i="8" s="1"/>
  <c r="AW80" i="23"/>
  <c r="AG32" i="23"/>
  <c r="P31" i="8" s="1"/>
  <c r="AW32" i="23"/>
  <c r="AG63" i="23"/>
  <c r="P64" i="8" s="1"/>
  <c r="AW63" i="23"/>
  <c r="AW67" i="23"/>
  <c r="AG52" i="23"/>
  <c r="P52" i="8" s="1"/>
  <c r="AW52" i="23"/>
  <c r="AG93" i="23"/>
  <c r="P95" i="8" s="1"/>
  <c r="AW93" i="23"/>
  <c r="AG84" i="23"/>
  <c r="P86" i="8" s="1"/>
  <c r="AW84" i="23"/>
  <c r="AG94" i="23"/>
  <c r="P96" i="8" s="1"/>
  <c r="AW94" i="23"/>
  <c r="AG60" i="23"/>
  <c r="P61" i="8" s="1"/>
  <c r="AW60" i="23"/>
  <c r="AW51" i="23"/>
  <c r="AG48" i="23"/>
  <c r="P48" i="8" s="1"/>
  <c r="AW48" i="23"/>
  <c r="AG72" i="23"/>
  <c r="P74" i="8" s="1"/>
  <c r="AW72" i="23"/>
  <c r="AG59" i="23"/>
  <c r="P60" i="8" s="1"/>
  <c r="AW59" i="23"/>
  <c r="AG88" i="23"/>
  <c r="P90" i="8" s="1"/>
  <c r="AW88" i="23"/>
  <c r="AG89" i="23"/>
  <c r="P91" i="8" s="1"/>
  <c r="AW89" i="23"/>
  <c r="AG64" i="23"/>
  <c r="P65" i="8" s="1"/>
  <c r="V65" i="8" s="1"/>
  <c r="AW64" i="23"/>
  <c r="AG36" i="23"/>
  <c r="P35" i="8" s="1"/>
  <c r="AW36" i="23"/>
  <c r="AG35" i="23"/>
  <c r="P34" i="8" s="1"/>
  <c r="AW35" i="23"/>
  <c r="AG81" i="23"/>
  <c r="P83" i="8" s="1"/>
  <c r="AW81" i="23"/>
  <c r="AG47" i="23"/>
  <c r="P47" i="8" s="1"/>
  <c r="AW47" i="23"/>
  <c r="AG85" i="23"/>
  <c r="P87" i="8" s="1"/>
  <c r="AW85" i="23"/>
  <c r="AG12" i="23"/>
  <c r="P10" i="8" s="1"/>
  <c r="AW12" i="23"/>
  <c r="AW39" i="23"/>
  <c r="AG68" i="23"/>
  <c r="P70" i="8" s="1"/>
  <c r="AW68" i="23"/>
  <c r="AG76" i="23"/>
  <c r="P78" i="8" s="1"/>
  <c r="AW76" i="23"/>
  <c r="AG24" i="23"/>
  <c r="P22" i="8" s="1"/>
  <c r="AW24" i="23"/>
  <c r="AG23" i="23"/>
  <c r="P21" i="8" s="1"/>
  <c r="AW23" i="23"/>
  <c r="AG44" i="23"/>
  <c r="P44" i="8" s="1"/>
  <c r="AW44" i="23"/>
  <c r="AG71" i="23"/>
  <c r="P73" i="8" s="1"/>
  <c r="AW71" i="23"/>
  <c r="AG10" i="23"/>
  <c r="P8" i="8" s="1"/>
  <c r="AW10" i="23"/>
  <c r="AF95" i="23"/>
  <c r="AF96" i="23" s="1"/>
  <c r="AX79" i="23" l="1"/>
  <c r="AH79" i="23"/>
  <c r="AI79" i="23" s="1"/>
  <c r="AJ79" i="23" s="1"/>
  <c r="AK79" i="23" s="1"/>
  <c r="AL79" i="23" s="1"/>
  <c r="AH83" i="23"/>
  <c r="AI83" i="23" s="1"/>
  <c r="AJ83" i="23" s="1"/>
  <c r="AK83" i="23" s="1"/>
  <c r="AL83" i="23" s="1"/>
  <c r="AX30" i="23"/>
  <c r="AX83" i="23"/>
  <c r="AH30" i="23"/>
  <c r="AI30" i="23" s="1"/>
  <c r="AJ30" i="23" s="1"/>
  <c r="AK30" i="23" s="1"/>
  <c r="AL30" i="23" s="1"/>
  <c r="AX33" i="23"/>
  <c r="AH18" i="23"/>
  <c r="AI18" i="23" s="1"/>
  <c r="AJ18" i="23" s="1"/>
  <c r="AK18" i="23" s="1"/>
  <c r="AL18" i="23" s="1"/>
  <c r="AH33" i="23"/>
  <c r="AI33" i="23" s="1"/>
  <c r="AJ33" i="23" s="1"/>
  <c r="AK33" i="23" s="1"/>
  <c r="AL33" i="23" s="1"/>
  <c r="AX18" i="23"/>
  <c r="AX28" i="23"/>
  <c r="AH20" i="23"/>
  <c r="AI20" i="23" s="1"/>
  <c r="AJ20" i="23" s="1"/>
  <c r="AK20" i="23" s="1"/>
  <c r="AL20" i="23" s="1"/>
  <c r="AX27" i="23"/>
  <c r="AX15" i="23"/>
  <c r="AH46" i="23"/>
  <c r="AI46" i="23" s="1"/>
  <c r="AJ46" i="23" s="1"/>
  <c r="AK46" i="23" s="1"/>
  <c r="AL46" i="23" s="1"/>
  <c r="AX26" i="23"/>
  <c r="AX29" i="23"/>
  <c r="AH27" i="23"/>
  <c r="AI27" i="23" s="1"/>
  <c r="AJ27" i="23" s="1"/>
  <c r="AK27" i="23" s="1"/>
  <c r="AL27" i="23" s="1"/>
  <c r="AX46" i="23"/>
  <c r="AX65" i="23"/>
  <c r="AX13" i="23"/>
  <c r="AH29" i="23"/>
  <c r="AI29" i="23" s="1"/>
  <c r="AJ29" i="23" s="1"/>
  <c r="AK29" i="23" s="1"/>
  <c r="AL29" i="23" s="1"/>
  <c r="AH43" i="23"/>
  <c r="AI43" i="23" s="1"/>
  <c r="AJ43" i="23" s="1"/>
  <c r="AK43" i="23" s="1"/>
  <c r="AL43" i="23" s="1"/>
  <c r="AH61" i="23"/>
  <c r="AI61" i="23" s="1"/>
  <c r="AJ61" i="23" s="1"/>
  <c r="AK61" i="23" s="1"/>
  <c r="AL61" i="23" s="1"/>
  <c r="P62" i="8"/>
  <c r="AX11" i="23"/>
  <c r="AX43" i="23"/>
  <c r="AH26" i="23"/>
  <c r="AI26" i="23" s="1"/>
  <c r="AJ26" i="23" s="1"/>
  <c r="AK26" i="23" s="1"/>
  <c r="AL26" i="23" s="1"/>
  <c r="AX50" i="23"/>
  <c r="AH49" i="23"/>
  <c r="AI49" i="23" s="1"/>
  <c r="AJ49" i="23" s="1"/>
  <c r="AK49" i="23" s="1"/>
  <c r="AL49" i="23" s="1"/>
  <c r="AH55" i="23"/>
  <c r="AI55" i="23" s="1"/>
  <c r="AJ55" i="23" s="1"/>
  <c r="AK55" i="23" s="1"/>
  <c r="AL55" i="23" s="1"/>
  <c r="AX49" i="23"/>
  <c r="AH50" i="23"/>
  <c r="AI50" i="23" s="1"/>
  <c r="AJ50" i="23" s="1"/>
  <c r="AK50" i="23" s="1"/>
  <c r="AL50" i="23" s="1"/>
  <c r="AH13" i="23"/>
  <c r="AI13" i="23" s="1"/>
  <c r="AJ13" i="23" s="1"/>
  <c r="AK13" i="23" s="1"/>
  <c r="AL13" i="23" s="1"/>
  <c r="AX55" i="23"/>
  <c r="AH11" i="23"/>
  <c r="AI11" i="23" s="1"/>
  <c r="AJ11" i="23" s="1"/>
  <c r="AK11" i="23" s="1"/>
  <c r="AL11" i="23" s="1"/>
  <c r="AH54" i="23"/>
  <c r="AI54" i="23" s="1"/>
  <c r="AJ54" i="23" s="1"/>
  <c r="AK54" i="23" s="1"/>
  <c r="AL54" i="23" s="1"/>
  <c r="AH15" i="23"/>
  <c r="AI15" i="23" s="1"/>
  <c r="AJ15" i="23" s="1"/>
  <c r="AK15" i="23" s="1"/>
  <c r="AL15" i="23" s="1"/>
  <c r="AX54" i="23"/>
  <c r="P68" i="8"/>
  <c r="V68" i="8" s="1"/>
  <c r="AX22" i="23"/>
  <c r="AH22" i="23"/>
  <c r="AI22" i="23" s="1"/>
  <c r="AJ22" i="23" s="1"/>
  <c r="AK22" i="23" s="1"/>
  <c r="AL22" i="23" s="1"/>
  <c r="AX61" i="23"/>
  <c r="V96" i="8"/>
  <c r="V94" i="8"/>
  <c r="V90" i="8"/>
  <c r="V78" i="8"/>
  <c r="AF78" i="8"/>
  <c r="AL78" i="8" s="1"/>
  <c r="AX24" i="23"/>
  <c r="AF22" i="8"/>
  <c r="AH24" i="23"/>
  <c r="AI24" i="23" s="1"/>
  <c r="AJ24" i="23" s="1"/>
  <c r="AK24" i="23" s="1"/>
  <c r="AL24" i="23" s="1"/>
  <c r="AH12" i="23"/>
  <c r="AI12" i="23" s="1"/>
  <c r="AJ12" i="23" s="1"/>
  <c r="AK12" i="23" s="1"/>
  <c r="AL12" i="23" s="1"/>
  <c r="AF10" i="8"/>
  <c r="AX12" i="23"/>
  <c r="AX88" i="23"/>
  <c r="AF90" i="8"/>
  <c r="AH88" i="23"/>
  <c r="AI88" i="23" s="1"/>
  <c r="AJ88" i="23" s="1"/>
  <c r="AK88" i="23" s="1"/>
  <c r="AL88" i="23" s="1"/>
  <c r="AH51" i="23"/>
  <c r="AI51" i="23" s="1"/>
  <c r="AJ51" i="23" s="1"/>
  <c r="AK51" i="23" s="1"/>
  <c r="AL51" i="23" s="1"/>
  <c r="AF51" i="8"/>
  <c r="AX51" i="23"/>
  <c r="AX93" i="23"/>
  <c r="AF95" i="8"/>
  <c r="AH93" i="23"/>
  <c r="AI93" i="23" s="1"/>
  <c r="AJ93" i="23" s="1"/>
  <c r="AK93" i="23" s="1"/>
  <c r="AL93" i="23" s="1"/>
  <c r="AH32" i="23"/>
  <c r="AI32" i="23" s="1"/>
  <c r="AJ32" i="23" s="1"/>
  <c r="AK32" i="23" s="1"/>
  <c r="AL32" i="23" s="1"/>
  <c r="AF31" i="8"/>
  <c r="AX32" i="23"/>
  <c r="AH71" i="23"/>
  <c r="AI71" i="23" s="1"/>
  <c r="AJ71" i="23" s="1"/>
  <c r="AK71" i="23" s="1"/>
  <c r="AL71" i="23" s="1"/>
  <c r="AX71" i="23"/>
  <c r="AF72" i="8"/>
  <c r="AF77" i="8"/>
  <c r="AH76" i="23"/>
  <c r="AI76" i="23" s="1"/>
  <c r="AJ76" i="23" s="1"/>
  <c r="AK76" i="23" s="1"/>
  <c r="AL76" i="23" s="1"/>
  <c r="AX76" i="23"/>
  <c r="AX85" i="23"/>
  <c r="AF87" i="8"/>
  <c r="AL87" i="8" s="1"/>
  <c r="AH85" i="23"/>
  <c r="AI85" i="23" s="1"/>
  <c r="AJ85" i="23" s="1"/>
  <c r="AK85" i="23" s="1"/>
  <c r="AL85" i="23" s="1"/>
  <c r="AF35" i="8"/>
  <c r="AH36" i="23"/>
  <c r="AI36" i="23" s="1"/>
  <c r="AJ36" i="23" s="1"/>
  <c r="AK36" i="23" s="1"/>
  <c r="AL36" i="23" s="1"/>
  <c r="AX36" i="23"/>
  <c r="AH59" i="23"/>
  <c r="AI59" i="23" s="1"/>
  <c r="AJ59" i="23" s="1"/>
  <c r="AK59" i="23" s="1"/>
  <c r="AL59" i="23" s="1"/>
  <c r="AF60" i="8"/>
  <c r="AX59" i="23"/>
  <c r="AH60" i="23"/>
  <c r="AI60" i="23" s="1"/>
  <c r="AJ60" i="23" s="1"/>
  <c r="AK60" i="23" s="1"/>
  <c r="AL60" i="23" s="1"/>
  <c r="AF61" i="8"/>
  <c r="AX60" i="23"/>
  <c r="AF52" i="8"/>
  <c r="AH52" i="23"/>
  <c r="AI52" i="23" s="1"/>
  <c r="AJ52" i="23" s="1"/>
  <c r="AK52" i="23" s="1"/>
  <c r="AL52" i="23" s="1"/>
  <c r="AX52" i="23"/>
  <c r="AH80" i="23"/>
  <c r="AI80" i="23" s="1"/>
  <c r="AJ80" i="23" s="1"/>
  <c r="AK80" i="23" s="1"/>
  <c r="AL80" i="23" s="1"/>
  <c r="AF82" i="8"/>
  <c r="AX80" i="23"/>
  <c r="AH68" i="23"/>
  <c r="AI68" i="23" s="1"/>
  <c r="AJ68" i="23" s="1"/>
  <c r="AK68" i="23" s="1"/>
  <c r="AL68" i="23" s="1"/>
  <c r="AX68" i="23"/>
  <c r="AF69" i="8"/>
  <c r="AH64" i="23"/>
  <c r="AI64" i="23" s="1"/>
  <c r="AJ64" i="23" s="1"/>
  <c r="AK64" i="23" s="1"/>
  <c r="AL64" i="23" s="1"/>
  <c r="AX64" i="23"/>
  <c r="AF65" i="8"/>
  <c r="AH72" i="23"/>
  <c r="AI72" i="23" s="1"/>
  <c r="AJ72" i="23" s="1"/>
  <c r="AK72" i="23" s="1"/>
  <c r="AL72" i="23" s="1"/>
  <c r="AF73" i="8"/>
  <c r="AX72" i="23"/>
  <c r="AH67" i="23"/>
  <c r="AI67" i="23" s="1"/>
  <c r="AJ67" i="23" s="1"/>
  <c r="AK67" i="23" s="1"/>
  <c r="AL67" i="23" s="1"/>
  <c r="AX67" i="23"/>
  <c r="AX92" i="23"/>
  <c r="AH92" i="23"/>
  <c r="AI92" i="23" s="1"/>
  <c r="AJ92" i="23" s="1"/>
  <c r="AK92" i="23" s="1"/>
  <c r="AL92" i="23" s="1"/>
  <c r="AF44" i="8"/>
  <c r="AH44" i="23"/>
  <c r="AI44" i="23" s="1"/>
  <c r="AJ44" i="23" s="1"/>
  <c r="AK44" i="23" s="1"/>
  <c r="AL44" i="23" s="1"/>
  <c r="AX44" i="23"/>
  <c r="AH47" i="23"/>
  <c r="AI47" i="23" s="1"/>
  <c r="AJ47" i="23" s="1"/>
  <c r="AK47" i="23" s="1"/>
  <c r="AL47" i="23" s="1"/>
  <c r="AF47" i="8"/>
  <c r="AX47" i="23"/>
  <c r="AH94" i="23"/>
  <c r="AI94" i="23" s="1"/>
  <c r="AJ94" i="23" s="1"/>
  <c r="AK94" i="23" s="1"/>
  <c r="AL94" i="23" s="1"/>
  <c r="AX94" i="23"/>
  <c r="AH23" i="23"/>
  <c r="AI23" i="23" s="1"/>
  <c r="AJ23" i="23" s="1"/>
  <c r="AK23" i="23" s="1"/>
  <c r="AL23" i="23" s="1"/>
  <c r="AX23" i="23"/>
  <c r="AF21" i="8"/>
  <c r="AH39" i="23"/>
  <c r="AI39" i="23" s="1"/>
  <c r="AJ39" i="23" s="1"/>
  <c r="AK39" i="23" s="1"/>
  <c r="AL39" i="23" s="1"/>
  <c r="AX39" i="23"/>
  <c r="AF39" i="8"/>
  <c r="AX81" i="23"/>
  <c r="AH81" i="23"/>
  <c r="AI81" i="23" s="1"/>
  <c r="AJ81" i="23" s="1"/>
  <c r="AK81" i="23" s="1"/>
  <c r="AL81" i="23" s="1"/>
  <c r="AF83" i="8"/>
  <c r="AF91" i="8"/>
  <c r="AX89" i="23"/>
  <c r="AH89" i="23"/>
  <c r="AI89" i="23" s="1"/>
  <c r="AJ89" i="23" s="1"/>
  <c r="AK89" i="23" s="1"/>
  <c r="AL89" i="23" s="1"/>
  <c r="AX48" i="23"/>
  <c r="AH48" i="23"/>
  <c r="AI48" i="23" s="1"/>
  <c r="AJ48" i="23" s="1"/>
  <c r="AK48" i="23" s="1"/>
  <c r="AL48" i="23" s="1"/>
  <c r="AF48" i="8"/>
  <c r="AX84" i="23"/>
  <c r="AH84" i="23"/>
  <c r="AI84" i="23" s="1"/>
  <c r="AJ84" i="23" s="1"/>
  <c r="AK84" i="23" s="1"/>
  <c r="AL84" i="23" s="1"/>
  <c r="AH63" i="23"/>
  <c r="AI63" i="23" s="1"/>
  <c r="AJ63" i="23" s="1"/>
  <c r="AK63" i="23" s="1"/>
  <c r="AL63" i="23" s="1"/>
  <c r="AX63" i="23"/>
  <c r="AH75" i="23"/>
  <c r="AI75" i="23" s="1"/>
  <c r="AJ75" i="23" s="1"/>
  <c r="AK75" i="23" s="1"/>
  <c r="AL75" i="23" s="1"/>
  <c r="AF76" i="8"/>
  <c r="AX75" i="23"/>
  <c r="AH35" i="23"/>
  <c r="AI35" i="23" s="1"/>
  <c r="AJ35" i="23" s="1"/>
  <c r="AK35" i="23" s="1"/>
  <c r="AL35" i="23" s="1"/>
  <c r="AF34" i="8"/>
  <c r="AX35" i="23"/>
  <c r="AF57" i="8"/>
  <c r="AH56" i="23"/>
  <c r="AI56" i="23" s="1"/>
  <c r="AJ56" i="23" s="1"/>
  <c r="AK56" i="23" s="1"/>
  <c r="AL56" i="23" s="1"/>
  <c r="AX56" i="23"/>
  <c r="AH10" i="23"/>
  <c r="AX10" i="23"/>
  <c r="AG95" i="23"/>
  <c r="AB96" i="8"/>
  <c r="AE95" i="8"/>
  <c r="AD95" i="8"/>
  <c r="AC95" i="8"/>
  <c r="AB95" i="8"/>
  <c r="AE94" i="8"/>
  <c r="AD94" i="8"/>
  <c r="AC94" i="8"/>
  <c r="AB94" i="8"/>
  <c r="AF93" i="8"/>
  <c r="AE93" i="8"/>
  <c r="AD93" i="8"/>
  <c r="AC93" i="8"/>
  <c r="AB93" i="8"/>
  <c r="AF92" i="8"/>
  <c r="AE92" i="8"/>
  <c r="AD92" i="8"/>
  <c r="AC92" i="8"/>
  <c r="AB92" i="8"/>
  <c r="AE91" i="8"/>
  <c r="AD91" i="8"/>
  <c r="AC91" i="8"/>
  <c r="AB91" i="8"/>
  <c r="AE90" i="8"/>
  <c r="AD90" i="8"/>
  <c r="AC90" i="8"/>
  <c r="AB90" i="8"/>
  <c r="AF89" i="8"/>
  <c r="AE89" i="8"/>
  <c r="AD89" i="8"/>
  <c r="AC89" i="8"/>
  <c r="AB89" i="8"/>
  <c r="AF88" i="8"/>
  <c r="AE88" i="8"/>
  <c r="AD88" i="8"/>
  <c r="AC88" i="8"/>
  <c r="AB88" i="8"/>
  <c r="AE87" i="8"/>
  <c r="AK87" i="8" s="1"/>
  <c r="AD87" i="8"/>
  <c r="AJ87" i="8" s="1"/>
  <c r="AC87" i="8"/>
  <c r="AI87" i="8" s="1"/>
  <c r="AB87" i="8"/>
  <c r="AF85" i="8"/>
  <c r="AE85" i="8"/>
  <c r="AD85" i="8"/>
  <c r="AC85" i="8"/>
  <c r="AB85" i="8"/>
  <c r="AF84" i="8"/>
  <c r="AE84" i="8"/>
  <c r="AD84" i="8"/>
  <c r="AC84" i="8"/>
  <c r="AB84" i="8"/>
  <c r="AE83" i="8"/>
  <c r="AD83" i="8"/>
  <c r="AC83" i="8"/>
  <c r="AB83" i="8"/>
  <c r="AE82" i="8"/>
  <c r="AD82" i="8"/>
  <c r="AC82" i="8"/>
  <c r="AB82" i="8"/>
  <c r="AE77" i="8"/>
  <c r="AD77" i="8"/>
  <c r="AC77" i="8"/>
  <c r="AB77" i="8"/>
  <c r="AE76" i="8"/>
  <c r="AD76" i="8"/>
  <c r="AC76" i="8"/>
  <c r="AB76" i="8"/>
  <c r="AF75" i="8"/>
  <c r="AE75" i="8"/>
  <c r="AD75" i="8"/>
  <c r="AC75" i="8"/>
  <c r="AB75" i="8"/>
  <c r="AF74" i="8"/>
  <c r="AE74" i="8"/>
  <c r="AD74" i="8"/>
  <c r="AC74" i="8"/>
  <c r="AB74" i="8"/>
  <c r="AE73" i="8"/>
  <c r="AD73" i="8"/>
  <c r="AC73" i="8"/>
  <c r="AB73" i="8"/>
  <c r="AE72" i="8"/>
  <c r="AD72" i="8"/>
  <c r="AC72" i="8"/>
  <c r="AB72" i="8"/>
  <c r="AF71" i="8"/>
  <c r="AE71" i="8"/>
  <c r="AD71" i="8"/>
  <c r="AC71" i="8"/>
  <c r="AB71" i="8"/>
  <c r="AF70" i="8"/>
  <c r="AE70" i="8"/>
  <c r="AD70" i="8"/>
  <c r="AC70" i="8"/>
  <c r="AB70" i="8"/>
  <c r="AE69" i="8"/>
  <c r="AD69" i="8"/>
  <c r="AC69" i="8"/>
  <c r="AB69" i="8"/>
  <c r="AE68" i="8"/>
  <c r="AD68" i="8"/>
  <c r="AC68" i="8"/>
  <c r="AB68" i="8"/>
  <c r="AF67" i="8"/>
  <c r="AE67" i="8"/>
  <c r="AD67" i="8"/>
  <c r="AC67" i="8"/>
  <c r="AB67" i="8"/>
  <c r="AF66" i="8"/>
  <c r="AL66" i="8" s="1"/>
  <c r="AE66" i="8"/>
  <c r="AK66" i="8" s="1"/>
  <c r="AD66" i="8"/>
  <c r="AJ66" i="8" s="1"/>
  <c r="AC66" i="8"/>
  <c r="AI66" i="8" s="1"/>
  <c r="AB66" i="8"/>
  <c r="AH66" i="8" s="1"/>
  <c r="AE65" i="8"/>
  <c r="AD65" i="8"/>
  <c r="AC65" i="8"/>
  <c r="AB65" i="8"/>
  <c r="AF64" i="8"/>
  <c r="AE64" i="8"/>
  <c r="AD64" i="8"/>
  <c r="AC64" i="8"/>
  <c r="AB64" i="8"/>
  <c r="AF63" i="8"/>
  <c r="AE63" i="8"/>
  <c r="AD63" i="8"/>
  <c r="AC63" i="8"/>
  <c r="AB63" i="8"/>
  <c r="AF62" i="8"/>
  <c r="AE62" i="8"/>
  <c r="AD62" i="8"/>
  <c r="AC62" i="8"/>
  <c r="AB62" i="8"/>
  <c r="AE61" i="8"/>
  <c r="AD61" i="8"/>
  <c r="AC61" i="8"/>
  <c r="AB61" i="8"/>
  <c r="AE60" i="8"/>
  <c r="AD60" i="8"/>
  <c r="AC60" i="8"/>
  <c r="AB60" i="8"/>
  <c r="AF59" i="8"/>
  <c r="AE59" i="8"/>
  <c r="AD59" i="8"/>
  <c r="AC59" i="8"/>
  <c r="AB59" i="8"/>
  <c r="AF58" i="8"/>
  <c r="AE58" i="8"/>
  <c r="AD58" i="8"/>
  <c r="AC58" i="8"/>
  <c r="AB58" i="8"/>
  <c r="AE57" i="8"/>
  <c r="AD57" i="8"/>
  <c r="AC57" i="8"/>
  <c r="AB57" i="8"/>
  <c r="AF56" i="8"/>
  <c r="AE56" i="8"/>
  <c r="AD56" i="8"/>
  <c r="AC56" i="8"/>
  <c r="AB56" i="8"/>
  <c r="AF55" i="8"/>
  <c r="AE55" i="8"/>
  <c r="AD55" i="8"/>
  <c r="AC55" i="8"/>
  <c r="AB55" i="8"/>
  <c r="AF54" i="8"/>
  <c r="AE54" i="8"/>
  <c r="AD54" i="8"/>
  <c r="AC54" i="8"/>
  <c r="AB54" i="8"/>
  <c r="AF53" i="8"/>
  <c r="AE53" i="8"/>
  <c r="AD53" i="8"/>
  <c r="AC53" i="8"/>
  <c r="AB53" i="8"/>
  <c r="AE52" i="8"/>
  <c r="AD52" i="8"/>
  <c r="AC52" i="8"/>
  <c r="AB52" i="8"/>
  <c r="AE51" i="8"/>
  <c r="AD51" i="8"/>
  <c r="AC51" i="8"/>
  <c r="AB51" i="8"/>
  <c r="AF50" i="8"/>
  <c r="AE50" i="8"/>
  <c r="AD50" i="8"/>
  <c r="AC50" i="8"/>
  <c r="AB50" i="8"/>
  <c r="AF49" i="8"/>
  <c r="AE49" i="8"/>
  <c r="AD49" i="8"/>
  <c r="AC49" i="8"/>
  <c r="AB49" i="8"/>
  <c r="AE48" i="8"/>
  <c r="AD48" i="8"/>
  <c r="AC48" i="8"/>
  <c r="AB48" i="8"/>
  <c r="AE47" i="8"/>
  <c r="AD47" i="8"/>
  <c r="AC47" i="8"/>
  <c r="AB47" i="8"/>
  <c r="AF46" i="8"/>
  <c r="AE46" i="8"/>
  <c r="AD46" i="8"/>
  <c r="AC46" i="8"/>
  <c r="AB46" i="8"/>
  <c r="AF45" i="8"/>
  <c r="AE45" i="8"/>
  <c r="AD45" i="8"/>
  <c r="AC45" i="8"/>
  <c r="AB45" i="8"/>
  <c r="AE44" i="8"/>
  <c r="AD44" i="8"/>
  <c r="AC44" i="8"/>
  <c r="AB44" i="8"/>
  <c r="AF43" i="8"/>
  <c r="AE43" i="8"/>
  <c r="AD43" i="8"/>
  <c r="AC43" i="8"/>
  <c r="AB43" i="8"/>
  <c r="AF42" i="8"/>
  <c r="AE42" i="8"/>
  <c r="AD42" i="8"/>
  <c r="AC42" i="8"/>
  <c r="AB42" i="8"/>
  <c r="AF41" i="8"/>
  <c r="AE41" i="8"/>
  <c r="AD41" i="8"/>
  <c r="AC41" i="8"/>
  <c r="AB41" i="8"/>
  <c r="AE39" i="8"/>
  <c r="AD39" i="8"/>
  <c r="AC39" i="8"/>
  <c r="AB39" i="8"/>
  <c r="AF38" i="8"/>
  <c r="AE38" i="8"/>
  <c r="AD38" i="8"/>
  <c r="AC38" i="8"/>
  <c r="AB38" i="8"/>
  <c r="AF37" i="8"/>
  <c r="AE37" i="8"/>
  <c r="AD37" i="8"/>
  <c r="AC37" i="8"/>
  <c r="AB37" i="8"/>
  <c r="AF36" i="8"/>
  <c r="AE36" i="8"/>
  <c r="AD36" i="8"/>
  <c r="AC36" i="8"/>
  <c r="AB36" i="8"/>
  <c r="AE35" i="8"/>
  <c r="AD35" i="8"/>
  <c r="AC35" i="8"/>
  <c r="AB35" i="8"/>
  <c r="AE34" i="8"/>
  <c r="AD34" i="8"/>
  <c r="AC34" i="8"/>
  <c r="AB34" i="8"/>
  <c r="AF33" i="8"/>
  <c r="AE33" i="8"/>
  <c r="AD33" i="8"/>
  <c r="AC33" i="8"/>
  <c r="AB33" i="8"/>
  <c r="AF32" i="8"/>
  <c r="AE32" i="8"/>
  <c r="AD32" i="8"/>
  <c r="AC32" i="8"/>
  <c r="AB32" i="8"/>
  <c r="AE31" i="8"/>
  <c r="AD31" i="8"/>
  <c r="AC31" i="8"/>
  <c r="AB31" i="8"/>
  <c r="AF30" i="8"/>
  <c r="AE30" i="8"/>
  <c r="AD30" i="8"/>
  <c r="AC30" i="8"/>
  <c r="AB30" i="8"/>
  <c r="AF29" i="8"/>
  <c r="AE29" i="8"/>
  <c r="AD29" i="8"/>
  <c r="AC29" i="8"/>
  <c r="AB29" i="8"/>
  <c r="AF28" i="8"/>
  <c r="AE28" i="8"/>
  <c r="AD28" i="8"/>
  <c r="AC28" i="8"/>
  <c r="AB28" i="8"/>
  <c r="AF27" i="8"/>
  <c r="AE27" i="8"/>
  <c r="AD27" i="8"/>
  <c r="AC27" i="8"/>
  <c r="AB27" i="8"/>
  <c r="AF25" i="8"/>
  <c r="AE25" i="8"/>
  <c r="AD25" i="8"/>
  <c r="AC25" i="8"/>
  <c r="AB25" i="8"/>
  <c r="AF24" i="8"/>
  <c r="AE24" i="8"/>
  <c r="AD24" i="8"/>
  <c r="AC24" i="8"/>
  <c r="AB24" i="8"/>
  <c r="AF23" i="8"/>
  <c r="AE23" i="8"/>
  <c r="AD23" i="8"/>
  <c r="AC23" i="8"/>
  <c r="AB23" i="8"/>
  <c r="AE22" i="8"/>
  <c r="AD22" i="8"/>
  <c r="AC22" i="8"/>
  <c r="AB22" i="8"/>
  <c r="AE21" i="8"/>
  <c r="AD21" i="8"/>
  <c r="AC21" i="8"/>
  <c r="AB21" i="8"/>
  <c r="AF20" i="8"/>
  <c r="AE20" i="8"/>
  <c r="AD20" i="8"/>
  <c r="AC20" i="8"/>
  <c r="AB20" i="8"/>
  <c r="AF19" i="8"/>
  <c r="AE19" i="8"/>
  <c r="AD19" i="8"/>
  <c r="AC19" i="8"/>
  <c r="AB19" i="8"/>
  <c r="AF18" i="8"/>
  <c r="AE18" i="8"/>
  <c r="AD18" i="8"/>
  <c r="AC18" i="8"/>
  <c r="AB18" i="8"/>
  <c r="AF17" i="8"/>
  <c r="AE17" i="8"/>
  <c r="AD17" i="8"/>
  <c r="AC17" i="8"/>
  <c r="AB17" i="8"/>
  <c r="AF16" i="8"/>
  <c r="AE16" i="8"/>
  <c r="AD16" i="8"/>
  <c r="AC16" i="8"/>
  <c r="AB16" i="8"/>
  <c r="AF15" i="8"/>
  <c r="AE15" i="8"/>
  <c r="AD15" i="8"/>
  <c r="AC15" i="8"/>
  <c r="AB15" i="8"/>
  <c r="AF14" i="8"/>
  <c r="AE14" i="8"/>
  <c r="AD14" i="8"/>
  <c r="AC14" i="8"/>
  <c r="AB14" i="8"/>
  <c r="AF13" i="8"/>
  <c r="AE13" i="8"/>
  <c r="AD13" i="8"/>
  <c r="AC13" i="8"/>
  <c r="AB13" i="8"/>
  <c r="AF12" i="8"/>
  <c r="AE12" i="8"/>
  <c r="AD12" i="8"/>
  <c r="AC12" i="8"/>
  <c r="AB12" i="8"/>
  <c r="AF11" i="8"/>
  <c r="AE11" i="8"/>
  <c r="AD11" i="8"/>
  <c r="AC11" i="8"/>
  <c r="AB11" i="8"/>
  <c r="AE10" i="8"/>
  <c r="AD10" i="8"/>
  <c r="AC10" i="8"/>
  <c r="AB10" i="8"/>
  <c r="AF9" i="8"/>
  <c r="AE9" i="8"/>
  <c r="AD9" i="8"/>
  <c r="AC9" i="8"/>
  <c r="AB9" i="8"/>
  <c r="AF68" i="8" l="1"/>
  <c r="AF94" i="8"/>
  <c r="AG96" i="23"/>
  <c r="AG97" i="23"/>
  <c r="AI10" i="23"/>
  <c r="AH95" i="23"/>
  <c r="AH96" i="23" s="1"/>
  <c r="AC8" i="8"/>
  <c r="M99" i="8"/>
  <c r="AD8" i="8"/>
  <c r="N99" i="8"/>
  <c r="AE8" i="8"/>
  <c r="O99" i="8"/>
  <c r="AF8" i="8"/>
  <c r="P99" i="8"/>
  <c r="M100" i="8"/>
  <c r="AC81" i="8"/>
  <c r="M101" i="8"/>
  <c r="AB86" i="8"/>
  <c r="N100" i="8"/>
  <c r="AD81" i="8"/>
  <c r="N101" i="8"/>
  <c r="AC86" i="8"/>
  <c r="M102" i="8"/>
  <c r="O100" i="8"/>
  <c r="AE81" i="8"/>
  <c r="O101" i="8"/>
  <c r="AD86" i="8"/>
  <c r="N102" i="8"/>
  <c r="P100" i="8"/>
  <c r="AF81" i="8"/>
  <c r="P101" i="8"/>
  <c r="AE86" i="8"/>
  <c r="O102" i="8"/>
  <c r="AB81" i="8"/>
  <c r="AF86" i="8"/>
  <c r="P102" i="8"/>
  <c r="Q132" i="18"/>
  <c r="AC96" i="8"/>
  <c r="AI96" i="8" s="1"/>
  <c r="AD96" i="8"/>
  <c r="AJ96" i="8" s="1"/>
  <c r="AE96" i="8"/>
  <c r="AK96" i="8" s="1"/>
  <c r="AF96" i="8"/>
  <c r="AL96" i="8" s="1"/>
  <c r="AG96" i="8"/>
  <c r="AG95" i="8"/>
  <c r="AG94" i="8"/>
  <c r="AG93" i="8"/>
  <c r="AG92" i="8"/>
  <c r="AG91" i="8"/>
  <c r="AG90" i="8"/>
  <c r="AG89" i="8"/>
  <c r="AG88" i="8"/>
  <c r="AG87" i="8"/>
  <c r="AG86" i="8"/>
  <c r="AG85" i="8"/>
  <c r="AG84" i="8"/>
  <c r="AG83" i="8"/>
  <c r="AG82" i="8"/>
  <c r="AG81" i="8"/>
  <c r="AG77" i="8"/>
  <c r="AG76" i="8"/>
  <c r="AG75" i="8"/>
  <c r="AG74" i="8"/>
  <c r="AG73" i="8"/>
  <c r="AG72" i="8"/>
  <c r="AG71" i="8"/>
  <c r="AG70" i="8"/>
  <c r="AG69" i="8"/>
  <c r="AG68" i="8"/>
  <c r="AG67" i="8"/>
  <c r="AG66" i="8"/>
  <c r="AG65" i="8"/>
  <c r="AG64" i="8"/>
  <c r="AG63" i="8"/>
  <c r="AG62" i="8"/>
  <c r="AG61" i="8"/>
  <c r="AG60" i="8"/>
  <c r="AG59" i="8"/>
  <c r="AG58" i="8"/>
  <c r="AG57" i="8"/>
  <c r="AG56" i="8"/>
  <c r="AG55" i="8"/>
  <c r="AG54" i="8"/>
  <c r="AG53" i="8"/>
  <c r="AG52" i="8"/>
  <c r="AG51" i="8"/>
  <c r="AG50" i="8"/>
  <c r="AG49" i="8"/>
  <c r="AG48" i="8"/>
  <c r="AG47" i="8"/>
  <c r="AG46" i="8"/>
  <c r="AG45" i="8"/>
  <c r="AG44" i="8"/>
  <c r="AG43" i="8"/>
  <c r="AG42" i="8"/>
  <c r="AG41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G25" i="8"/>
  <c r="AG24" i="8"/>
  <c r="AG23" i="8"/>
  <c r="AG22" i="8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Z8" i="8"/>
  <c r="AG8" i="8" s="1"/>
  <c r="J95" i="8"/>
  <c r="J93" i="8"/>
  <c r="J92" i="8"/>
  <c r="J91" i="8"/>
  <c r="J89" i="8"/>
  <c r="J87" i="8"/>
  <c r="J85" i="8"/>
  <c r="J84" i="8"/>
  <c r="J77" i="8"/>
  <c r="J76" i="8"/>
  <c r="J75" i="8"/>
  <c r="J74" i="8"/>
  <c r="J73" i="8"/>
  <c r="J72" i="8"/>
  <c r="J71" i="8"/>
  <c r="J70" i="8"/>
  <c r="J67" i="8"/>
  <c r="J66" i="8"/>
  <c r="J64" i="8"/>
  <c r="R64" i="8" s="1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39" i="8"/>
  <c r="J38" i="8"/>
  <c r="Q38" i="8" s="1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R66" i="8" l="1"/>
  <c r="S66" i="8"/>
  <c r="U66" i="8"/>
  <c r="T66" i="8"/>
  <c r="V66" i="8"/>
  <c r="S87" i="8"/>
  <c r="T87" i="8"/>
  <c r="U87" i="8"/>
  <c r="V87" i="8"/>
  <c r="R41" i="8"/>
  <c r="S41" i="8"/>
  <c r="T41" i="8"/>
  <c r="U41" i="8"/>
  <c r="V41" i="8"/>
  <c r="V75" i="8"/>
  <c r="U75" i="8"/>
  <c r="T75" i="8"/>
  <c r="S75" i="8"/>
  <c r="R75" i="8"/>
  <c r="U76" i="8"/>
  <c r="S76" i="8"/>
  <c r="R76" i="8"/>
  <c r="T76" i="8"/>
  <c r="V76" i="8"/>
  <c r="V27" i="8"/>
  <c r="U27" i="8"/>
  <c r="S27" i="8"/>
  <c r="T27" i="8"/>
  <c r="R27" i="8"/>
  <c r="V51" i="8"/>
  <c r="U51" i="8"/>
  <c r="S51" i="8"/>
  <c r="T51" i="8"/>
  <c r="R51" i="8"/>
  <c r="V80" i="8"/>
  <c r="U80" i="8"/>
  <c r="T80" i="8"/>
  <c r="S80" i="8"/>
  <c r="R80" i="8"/>
  <c r="U54" i="8"/>
  <c r="V54" i="8"/>
  <c r="T54" i="8"/>
  <c r="S54" i="8"/>
  <c r="R54" i="8"/>
  <c r="S31" i="8"/>
  <c r="R31" i="8"/>
  <c r="T31" i="8"/>
  <c r="V31" i="8"/>
  <c r="U31" i="8"/>
  <c r="T57" i="8"/>
  <c r="R57" i="8"/>
  <c r="S57" i="8"/>
  <c r="U57" i="8"/>
  <c r="V57" i="8"/>
  <c r="Q12" i="8"/>
  <c r="V12" i="8"/>
  <c r="U12" i="8"/>
  <c r="T12" i="8"/>
  <c r="S12" i="8"/>
  <c r="R12" i="8"/>
  <c r="R92" i="8"/>
  <c r="V92" i="8"/>
  <c r="T92" i="8"/>
  <c r="S92" i="8"/>
  <c r="U92" i="8"/>
  <c r="Q14" i="8"/>
  <c r="S14" i="8"/>
  <c r="R14" i="8"/>
  <c r="V14" i="8"/>
  <c r="U14" i="8"/>
  <c r="T14" i="8"/>
  <c r="S62" i="8"/>
  <c r="R62" i="8"/>
  <c r="V62" i="8"/>
  <c r="U62" i="8"/>
  <c r="T62" i="8"/>
  <c r="S64" i="8"/>
  <c r="V64" i="8"/>
  <c r="U64" i="8"/>
  <c r="T64" i="8"/>
  <c r="Q17" i="8"/>
  <c r="S17" i="8"/>
  <c r="V17" i="8"/>
  <c r="U17" i="8"/>
  <c r="T17" i="8"/>
  <c r="R17" i="8"/>
  <c r="U42" i="8"/>
  <c r="V42" i="8"/>
  <c r="S42" i="8"/>
  <c r="R42" i="8"/>
  <c r="T42" i="8"/>
  <c r="Q18" i="8"/>
  <c r="U18" i="8"/>
  <c r="T18" i="8"/>
  <c r="S18" i="8"/>
  <c r="V18" i="8"/>
  <c r="R18" i="8"/>
  <c r="U43" i="8"/>
  <c r="T43" i="8"/>
  <c r="S43" i="8"/>
  <c r="R43" i="8"/>
  <c r="V43" i="8"/>
  <c r="U67" i="8"/>
  <c r="T67" i="8"/>
  <c r="S67" i="8"/>
  <c r="R67" i="8"/>
  <c r="V67" i="8"/>
  <c r="Q19" i="8"/>
  <c r="R19" i="8"/>
  <c r="U19" i="8"/>
  <c r="T19" i="8"/>
  <c r="S19" i="8"/>
  <c r="V19" i="8"/>
  <c r="R44" i="8"/>
  <c r="V44" i="8"/>
  <c r="U44" i="8"/>
  <c r="T44" i="8"/>
  <c r="S44" i="8"/>
  <c r="Q20" i="8"/>
  <c r="V20" i="8"/>
  <c r="U20" i="8"/>
  <c r="T20" i="8"/>
  <c r="S20" i="8"/>
  <c r="R20" i="8"/>
  <c r="S45" i="8"/>
  <c r="R45" i="8"/>
  <c r="T45" i="8"/>
  <c r="V45" i="8"/>
  <c r="U45" i="8"/>
  <c r="V70" i="8"/>
  <c r="T70" i="8"/>
  <c r="R70" i="8"/>
  <c r="U70" i="8"/>
  <c r="S70" i="8"/>
  <c r="Q21" i="8"/>
  <c r="U21" i="8"/>
  <c r="T21" i="8"/>
  <c r="R21" i="8"/>
  <c r="V21" i="8"/>
  <c r="S21" i="8"/>
  <c r="T46" i="8"/>
  <c r="U46" i="8"/>
  <c r="S46" i="8"/>
  <c r="V46" i="8"/>
  <c r="R46" i="8"/>
  <c r="V71" i="8"/>
  <c r="T71" i="8"/>
  <c r="S71" i="8"/>
  <c r="R71" i="8"/>
  <c r="U71" i="8"/>
  <c r="Q22" i="8"/>
  <c r="S22" i="8"/>
  <c r="R22" i="8"/>
  <c r="V22" i="8"/>
  <c r="U22" i="8"/>
  <c r="T22" i="8"/>
  <c r="V47" i="8"/>
  <c r="U47" i="8"/>
  <c r="S47" i="8"/>
  <c r="T47" i="8"/>
  <c r="R47" i="8"/>
  <c r="V72" i="8"/>
  <c r="T72" i="8"/>
  <c r="R72" i="8"/>
  <c r="U72" i="8"/>
  <c r="S72" i="8"/>
  <c r="Q25" i="8"/>
  <c r="T25" i="8"/>
  <c r="S25" i="8"/>
  <c r="R25" i="8"/>
  <c r="V25" i="8"/>
  <c r="U25" i="8"/>
  <c r="V49" i="8"/>
  <c r="U49" i="8"/>
  <c r="T49" i="8"/>
  <c r="S49" i="8"/>
  <c r="R49" i="8"/>
  <c r="U52" i="8"/>
  <c r="S52" i="8"/>
  <c r="R52" i="8"/>
  <c r="T52" i="8"/>
  <c r="V52" i="8"/>
  <c r="V29" i="8"/>
  <c r="U29" i="8"/>
  <c r="T29" i="8"/>
  <c r="R29" i="8"/>
  <c r="S29" i="8"/>
  <c r="T82" i="8"/>
  <c r="R82" i="8"/>
  <c r="S82" i="8"/>
  <c r="V82" i="8"/>
  <c r="U82" i="8"/>
  <c r="R30" i="8"/>
  <c r="V30" i="8"/>
  <c r="U30" i="8"/>
  <c r="T30" i="8"/>
  <c r="S30" i="8"/>
  <c r="U83" i="8"/>
  <c r="T83" i="8"/>
  <c r="S83" i="8"/>
  <c r="R83" i="8"/>
  <c r="V83" i="8"/>
  <c r="V55" i="8"/>
  <c r="U55" i="8"/>
  <c r="T55" i="8"/>
  <c r="S55" i="8"/>
  <c r="R55" i="8"/>
  <c r="T33" i="8"/>
  <c r="R33" i="8"/>
  <c r="S33" i="8"/>
  <c r="U33" i="8"/>
  <c r="V33" i="8"/>
  <c r="Q11" i="8"/>
  <c r="T11" i="8"/>
  <c r="V11" i="8"/>
  <c r="U11" i="8"/>
  <c r="S11" i="8"/>
  <c r="R11" i="8"/>
  <c r="U35" i="8"/>
  <c r="T35" i="8"/>
  <c r="V35" i="8"/>
  <c r="R35" i="8"/>
  <c r="S35" i="8"/>
  <c r="V59" i="8"/>
  <c r="U59" i="8"/>
  <c r="T59" i="8"/>
  <c r="S59" i="8"/>
  <c r="R59" i="8"/>
  <c r="T91" i="8"/>
  <c r="S91" i="8"/>
  <c r="R91" i="8"/>
  <c r="V91" i="8"/>
  <c r="U91" i="8"/>
  <c r="V36" i="8"/>
  <c r="U36" i="8"/>
  <c r="T36" i="8"/>
  <c r="S36" i="8"/>
  <c r="R36" i="8"/>
  <c r="Q13" i="8"/>
  <c r="V13" i="8"/>
  <c r="U13" i="8"/>
  <c r="T13" i="8"/>
  <c r="R13" i="8"/>
  <c r="S13" i="8"/>
  <c r="V95" i="8"/>
  <c r="U95" i="8"/>
  <c r="T95" i="8"/>
  <c r="S95" i="8"/>
  <c r="R95" i="8"/>
  <c r="Q16" i="8"/>
  <c r="T16" i="8"/>
  <c r="S16" i="8"/>
  <c r="V16" i="8"/>
  <c r="U16" i="8"/>
  <c r="R16" i="8"/>
  <c r="Q23" i="8"/>
  <c r="V23" i="8"/>
  <c r="T23" i="8"/>
  <c r="S23" i="8"/>
  <c r="R23" i="8"/>
  <c r="U23" i="8"/>
  <c r="V48" i="8"/>
  <c r="T48" i="8"/>
  <c r="S48" i="8"/>
  <c r="R48" i="8"/>
  <c r="U48" i="8"/>
  <c r="V73" i="8"/>
  <c r="R73" i="8"/>
  <c r="U73" i="8"/>
  <c r="T73" i="8"/>
  <c r="S73" i="8"/>
  <c r="S50" i="8"/>
  <c r="R50" i="8"/>
  <c r="V50" i="8"/>
  <c r="T50" i="8"/>
  <c r="U50" i="8"/>
  <c r="R77" i="8"/>
  <c r="U77" i="8"/>
  <c r="T77" i="8"/>
  <c r="V77" i="8"/>
  <c r="S77" i="8"/>
  <c r="U28" i="8"/>
  <c r="R28" i="8"/>
  <c r="T28" i="8"/>
  <c r="S28" i="8"/>
  <c r="V28" i="8"/>
  <c r="S53" i="8"/>
  <c r="T53" i="8"/>
  <c r="R53" i="8"/>
  <c r="V53" i="8"/>
  <c r="U53" i="8"/>
  <c r="V84" i="8"/>
  <c r="U84" i="8"/>
  <c r="S84" i="8"/>
  <c r="R84" i="8"/>
  <c r="T84" i="8"/>
  <c r="V32" i="8"/>
  <c r="U32" i="8"/>
  <c r="R32" i="8"/>
  <c r="T32" i="8"/>
  <c r="S32" i="8"/>
  <c r="V85" i="8"/>
  <c r="U85" i="8"/>
  <c r="T85" i="8"/>
  <c r="S85" i="8"/>
  <c r="R85" i="8"/>
  <c r="Q9" i="8"/>
  <c r="T9" i="8"/>
  <c r="R9" i="8"/>
  <c r="S9" i="8"/>
  <c r="V9" i="8"/>
  <c r="U9" i="8"/>
  <c r="R87" i="8"/>
  <c r="Q10" i="8"/>
  <c r="U10" i="8"/>
  <c r="S10" i="8"/>
  <c r="R10" i="8"/>
  <c r="V10" i="8"/>
  <c r="T10" i="8"/>
  <c r="V34" i="8"/>
  <c r="U34" i="8"/>
  <c r="T34" i="8"/>
  <c r="S34" i="8"/>
  <c r="R34" i="8"/>
  <c r="R58" i="8"/>
  <c r="V58" i="8"/>
  <c r="U58" i="8"/>
  <c r="T58" i="8"/>
  <c r="S58" i="8"/>
  <c r="U89" i="8"/>
  <c r="T89" i="8"/>
  <c r="S89" i="8"/>
  <c r="R89" i="8"/>
  <c r="V89" i="8"/>
  <c r="V60" i="8"/>
  <c r="U60" i="8"/>
  <c r="S60" i="8"/>
  <c r="R60" i="8"/>
  <c r="T60" i="8"/>
  <c r="V37" i="8"/>
  <c r="U37" i="8"/>
  <c r="T37" i="8"/>
  <c r="S37" i="8"/>
  <c r="R37" i="8"/>
  <c r="V61" i="8"/>
  <c r="U61" i="8"/>
  <c r="T61" i="8"/>
  <c r="S61" i="8"/>
  <c r="R61" i="8"/>
  <c r="T93" i="8"/>
  <c r="V93" i="8"/>
  <c r="U93" i="8"/>
  <c r="S93" i="8"/>
  <c r="R93" i="8"/>
  <c r="S38" i="8"/>
  <c r="R38" i="8"/>
  <c r="V38" i="8"/>
  <c r="T38" i="8"/>
  <c r="U38" i="8"/>
  <c r="Q15" i="8"/>
  <c r="T15" i="8"/>
  <c r="S15" i="8"/>
  <c r="R15" i="8"/>
  <c r="V15" i="8"/>
  <c r="U15" i="8"/>
  <c r="V39" i="8"/>
  <c r="U39" i="8"/>
  <c r="T39" i="8"/>
  <c r="S39" i="8"/>
  <c r="R39" i="8"/>
  <c r="T63" i="8"/>
  <c r="S63" i="8"/>
  <c r="R63" i="8"/>
  <c r="V63" i="8"/>
  <c r="U63" i="8"/>
  <c r="Q24" i="8"/>
  <c r="R24" i="8"/>
  <c r="V24" i="8"/>
  <c r="U24" i="8"/>
  <c r="T24" i="8"/>
  <c r="S24" i="8"/>
  <c r="R74" i="8"/>
  <c r="V74" i="8"/>
  <c r="U74" i="8"/>
  <c r="T74" i="8"/>
  <c r="S74" i="8"/>
  <c r="AI95" i="23"/>
  <c r="AI96" i="23" s="1"/>
  <c r="AJ10" i="23"/>
  <c r="J86" i="8"/>
  <c r="I102" i="8"/>
  <c r="J100" i="8"/>
  <c r="Q100" i="8" s="1"/>
  <c r="J101" i="8"/>
  <c r="Q101" i="8" s="1"/>
  <c r="I101" i="8"/>
  <c r="J8" i="8"/>
  <c r="I99" i="8"/>
  <c r="AH90" i="8"/>
  <c r="AJ55" i="8"/>
  <c r="AL81" i="8"/>
  <c r="AK95" i="8"/>
  <c r="AK15" i="8"/>
  <c r="AH64" i="8"/>
  <c r="AH94" i="8"/>
  <c r="AI36" i="8"/>
  <c r="AH56" i="8"/>
  <c r="AK91" i="8"/>
  <c r="AI28" i="8"/>
  <c r="AH87" i="8"/>
  <c r="AK77" i="8"/>
  <c r="AK93" i="8"/>
  <c r="AL32" i="8"/>
  <c r="AI82" i="8"/>
  <c r="AL61" i="8"/>
  <c r="AL63" i="8"/>
  <c r="AL92" i="8"/>
  <c r="AL77" i="8"/>
  <c r="AH34" i="8"/>
  <c r="AH36" i="8"/>
  <c r="AH63" i="8"/>
  <c r="AH92" i="8"/>
  <c r="AI68" i="8"/>
  <c r="AH38" i="8"/>
  <c r="AJ74" i="8"/>
  <c r="AL20" i="8"/>
  <c r="AJ53" i="8"/>
  <c r="AL95" i="8"/>
  <c r="AI73" i="8"/>
  <c r="AK24" i="8"/>
  <c r="AH58" i="8"/>
  <c r="AJ57" i="8"/>
  <c r="AJ16" i="8"/>
  <c r="AL93" i="8"/>
  <c r="AI38" i="8"/>
  <c r="AI30" i="8"/>
  <c r="AK29" i="8"/>
  <c r="AI92" i="8"/>
  <c r="AJ91" i="8"/>
  <c r="AJ9" i="8"/>
  <c r="AL84" i="8"/>
  <c r="AH55" i="8"/>
  <c r="AI27" i="8"/>
  <c r="AH51" i="8"/>
  <c r="AI22" i="8"/>
  <c r="AK13" i="8"/>
  <c r="AI89" i="8"/>
  <c r="AJ59" i="8"/>
  <c r="AK31" i="8"/>
  <c r="AK23" i="8"/>
  <c r="AK61" i="8"/>
  <c r="AL33" i="8"/>
  <c r="AL54" i="8"/>
  <c r="AI91" i="8"/>
  <c r="AJ61" i="8"/>
  <c r="AK33" i="8"/>
  <c r="AJ52" i="8"/>
  <c r="AJ93" i="8"/>
  <c r="AK63" i="8"/>
  <c r="AL35" i="8"/>
  <c r="AL65" i="8"/>
  <c r="AI93" i="8"/>
  <c r="AL68" i="8"/>
  <c r="AJ83" i="8"/>
  <c r="AK54" i="8"/>
  <c r="AL25" i="8"/>
  <c r="AH28" i="8"/>
  <c r="AJ90" i="8"/>
  <c r="AK60" i="8"/>
  <c r="AH16" i="8"/>
  <c r="AJ85" i="8"/>
  <c r="AK55" i="8"/>
  <c r="AL27" i="8"/>
  <c r="AJ82" i="8"/>
  <c r="AK53" i="8"/>
  <c r="AL24" i="8"/>
  <c r="AJ62" i="8"/>
  <c r="AJ75" i="8"/>
  <c r="AL19" i="8"/>
  <c r="AK62" i="8"/>
  <c r="AL86" i="8"/>
  <c r="AH57" i="8"/>
  <c r="AI29" i="8"/>
  <c r="AI9" i="8"/>
  <c r="AH89" i="8"/>
  <c r="AI59" i="8"/>
  <c r="AJ31" i="8"/>
  <c r="AL43" i="8"/>
  <c r="AL88" i="8"/>
  <c r="AH59" i="8"/>
  <c r="AI31" i="8"/>
  <c r="AK35" i="8"/>
  <c r="AH91" i="8"/>
  <c r="AI61" i="8"/>
  <c r="AJ33" i="8"/>
  <c r="AI56" i="8"/>
  <c r="AL90" i="8"/>
  <c r="AI37" i="8"/>
  <c r="AH81" i="8"/>
  <c r="AI52" i="8"/>
  <c r="AJ23" i="8"/>
  <c r="AI23" i="8"/>
  <c r="AH88" i="8"/>
  <c r="AI58" i="8"/>
  <c r="AI60" i="8"/>
  <c r="AH83" i="8"/>
  <c r="AI54" i="8"/>
  <c r="AJ25" i="8"/>
  <c r="AI85" i="8"/>
  <c r="AI51" i="8"/>
  <c r="AJ22" i="8"/>
  <c r="AL42" i="8"/>
  <c r="AH73" i="8"/>
  <c r="AI47" i="8"/>
  <c r="AJ17" i="8"/>
  <c r="AK51" i="8"/>
  <c r="AJ84" i="8"/>
  <c r="AH76" i="8"/>
  <c r="AK86" i="8"/>
  <c r="AL56" i="8"/>
  <c r="AH29" i="8"/>
  <c r="AJ28" i="8"/>
  <c r="AJ86" i="8"/>
  <c r="AK56" i="8"/>
  <c r="AL28" i="8"/>
  <c r="AI21" i="8"/>
  <c r="AK88" i="8"/>
  <c r="AL58" i="8"/>
  <c r="AH31" i="8"/>
  <c r="AI33" i="8"/>
  <c r="AJ88" i="8"/>
  <c r="AI13" i="8"/>
  <c r="AK76" i="8"/>
  <c r="AL49" i="8"/>
  <c r="AH21" i="8"/>
  <c r="AJ18" i="8"/>
  <c r="AK85" i="8"/>
  <c r="AL55" i="8"/>
  <c r="AL34" i="8"/>
  <c r="AL51" i="8"/>
  <c r="AH23" i="8"/>
  <c r="AL82" i="8"/>
  <c r="AK75" i="8"/>
  <c r="AH20" i="8"/>
  <c r="AK22" i="8"/>
  <c r="AK70" i="8"/>
  <c r="AL44" i="8"/>
  <c r="AH15" i="8"/>
  <c r="AK27" i="8"/>
  <c r="AH82" i="8"/>
  <c r="AI53" i="8"/>
  <c r="AJ24" i="8"/>
  <c r="AI49" i="8"/>
  <c r="AI84" i="8"/>
  <c r="AH14" i="8"/>
  <c r="AH84" i="8"/>
  <c r="AK11" i="8"/>
  <c r="AI86" i="8"/>
  <c r="AJ56" i="8"/>
  <c r="AK28" i="8"/>
  <c r="AL18" i="8"/>
  <c r="AH86" i="8"/>
  <c r="AL89" i="8"/>
  <c r="AI74" i="8"/>
  <c r="AJ48" i="8"/>
  <c r="AK18" i="8"/>
  <c r="AI11" i="8"/>
  <c r="AI83" i="8"/>
  <c r="AJ54" i="8"/>
  <c r="AJ8" i="8"/>
  <c r="AI76" i="8"/>
  <c r="AJ49" i="8"/>
  <c r="AK20" i="8"/>
  <c r="AJ47" i="8"/>
  <c r="AK17" i="8"/>
  <c r="AJ42" i="8"/>
  <c r="AK12" i="8"/>
  <c r="AL50" i="8"/>
  <c r="AH22" i="8"/>
  <c r="AH18" i="8"/>
  <c r="AH53" i="8"/>
  <c r="AI24" i="8"/>
  <c r="AK73" i="8"/>
  <c r="AK81" i="8"/>
  <c r="AL52" i="8"/>
  <c r="AH24" i="8"/>
  <c r="AI71" i="8"/>
  <c r="AL83" i="8"/>
  <c r="AL8" i="8"/>
  <c r="AK83" i="8"/>
  <c r="AI67" i="8"/>
  <c r="AL71" i="8"/>
  <c r="AH46" i="8"/>
  <c r="AI16" i="8"/>
  <c r="AJ67" i="8"/>
  <c r="AH52" i="8"/>
  <c r="AH71" i="8"/>
  <c r="AL73" i="8"/>
  <c r="AH48" i="8"/>
  <c r="AI18" i="8"/>
  <c r="AL57" i="8"/>
  <c r="AL70" i="8"/>
  <c r="AH45" i="8"/>
  <c r="AI15" i="8"/>
  <c r="AH39" i="8"/>
  <c r="AI10" i="8"/>
  <c r="AK68" i="8"/>
  <c r="AI75" i="8"/>
  <c r="AK19" i="8"/>
  <c r="AJ73" i="8"/>
  <c r="AJ77" i="8"/>
  <c r="AK50" i="8"/>
  <c r="AL21" i="8"/>
  <c r="AK39" i="8"/>
  <c r="AI77" i="8"/>
  <c r="AJ50" i="8"/>
  <c r="AK21" i="8"/>
  <c r="AL47" i="8"/>
  <c r="AJ81" i="8"/>
  <c r="AK52" i="8"/>
  <c r="AL23" i="8"/>
  <c r="AH65" i="8"/>
  <c r="AI81" i="8"/>
  <c r="AI45" i="8"/>
  <c r="AJ69" i="8"/>
  <c r="AK43" i="8"/>
  <c r="AL13" i="8"/>
  <c r="AJ45" i="8"/>
  <c r="AJ76" i="8"/>
  <c r="AI48" i="8"/>
  <c r="AJ51" i="8"/>
  <c r="AJ71" i="8"/>
  <c r="AK45" i="8"/>
  <c r="AL15" i="8"/>
  <c r="AH54" i="8"/>
  <c r="AJ68" i="8"/>
  <c r="AK42" i="8"/>
  <c r="AL12" i="8"/>
  <c r="AI94" i="8"/>
  <c r="AJ64" i="8"/>
  <c r="AK36" i="8"/>
  <c r="AJ12" i="8"/>
  <c r="AK34" i="8"/>
  <c r="AL72" i="8"/>
  <c r="AH47" i="8"/>
  <c r="AI17" i="8"/>
  <c r="AH60" i="8"/>
  <c r="AH75" i="8"/>
  <c r="AJ19" i="8"/>
  <c r="AL10" i="8"/>
  <c r="AL74" i="8"/>
  <c r="AI19" i="8"/>
  <c r="AJ20" i="8"/>
  <c r="AH77" i="8"/>
  <c r="AI50" i="8"/>
  <c r="AJ21" i="8"/>
  <c r="AH43" i="8"/>
  <c r="AL76" i="8"/>
  <c r="AI20" i="8"/>
  <c r="AI41" i="8"/>
  <c r="AJ11" i="8"/>
  <c r="AL22" i="8"/>
  <c r="AH74" i="8"/>
  <c r="AL45" i="8"/>
  <c r="AI32" i="8"/>
  <c r="AH69" i="8"/>
  <c r="AI43" i="8"/>
  <c r="AJ13" i="8"/>
  <c r="AH30" i="8"/>
  <c r="AL85" i="8"/>
  <c r="AH67" i="8"/>
  <c r="AI39" i="8"/>
  <c r="AJ10" i="8"/>
  <c r="AL91" i="8"/>
  <c r="AH62" i="8"/>
  <c r="AI34" i="8"/>
  <c r="AK69" i="8"/>
  <c r="AK10" i="8"/>
  <c r="AJ70" i="8"/>
  <c r="AK44" i="8"/>
  <c r="AL14" i="8"/>
  <c r="AJ39" i="8"/>
  <c r="AK72" i="8"/>
  <c r="AL46" i="8"/>
  <c r="AH17" i="8"/>
  <c r="AH85" i="8"/>
  <c r="AJ72" i="8"/>
  <c r="AK46" i="8"/>
  <c r="AL16" i="8"/>
  <c r="AL75" i="8"/>
  <c r="AK74" i="8"/>
  <c r="AL48" i="8"/>
  <c r="AH19" i="8"/>
  <c r="AI25" i="8"/>
  <c r="AJ63" i="8"/>
  <c r="AJ95" i="8"/>
  <c r="AK65" i="8"/>
  <c r="AL37" i="8"/>
  <c r="AH9" i="8"/>
  <c r="AK71" i="8"/>
  <c r="AH41" i="8"/>
  <c r="AI8" i="8"/>
  <c r="AK67" i="8"/>
  <c r="AL39" i="8"/>
  <c r="AH11" i="8"/>
  <c r="AK94" i="8"/>
  <c r="AJ94" i="8"/>
  <c r="AK64" i="8"/>
  <c r="AL36" i="8"/>
  <c r="AH8" i="8"/>
  <c r="AJ89" i="8"/>
  <c r="AK59" i="8"/>
  <c r="AL31" i="8"/>
  <c r="AK58" i="8"/>
  <c r="AH68" i="8"/>
  <c r="AI42" i="8"/>
  <c r="AH10" i="8"/>
  <c r="AL17" i="8"/>
  <c r="AI70" i="8"/>
  <c r="AJ44" i="8"/>
  <c r="AK14" i="8"/>
  <c r="AH49" i="8"/>
  <c r="AH70" i="8"/>
  <c r="AI44" i="8"/>
  <c r="AJ14" i="8"/>
  <c r="AK57" i="8"/>
  <c r="AI72" i="8"/>
  <c r="AJ46" i="8"/>
  <c r="AK16" i="8"/>
  <c r="AK82" i="8"/>
  <c r="AH61" i="8"/>
  <c r="AH93" i="8"/>
  <c r="AI63" i="8"/>
  <c r="AJ35" i="8"/>
  <c r="AK49" i="8"/>
  <c r="AL53" i="8"/>
  <c r="AI69" i="8"/>
  <c r="AI35" i="8"/>
  <c r="AH95" i="8"/>
  <c r="AI65" i="8"/>
  <c r="AJ37" i="8"/>
  <c r="AK8" i="8"/>
  <c r="AL64" i="8"/>
  <c r="AI62" i="8"/>
  <c r="AJ34" i="8"/>
  <c r="AI57" i="8"/>
  <c r="AJ29" i="8"/>
  <c r="AI46" i="8"/>
  <c r="AL38" i="8"/>
  <c r="AH72" i="8"/>
  <c r="AH42" i="8"/>
  <c r="AI12" i="8"/>
  <c r="AH25" i="8"/>
  <c r="AL41" i="8"/>
  <c r="AH12" i="8"/>
  <c r="AH37" i="8"/>
  <c r="AL69" i="8"/>
  <c r="AH44" i="8"/>
  <c r="AI14" i="8"/>
  <c r="AI55" i="8"/>
  <c r="AK48" i="8"/>
  <c r="AK90" i="8"/>
  <c r="AL60" i="8"/>
  <c r="AH33" i="8"/>
  <c r="AJ43" i="8"/>
  <c r="AJ27" i="8"/>
  <c r="AL67" i="8"/>
  <c r="AJ30" i="8"/>
  <c r="AK92" i="8"/>
  <c r="AL62" i="8"/>
  <c r="AH35" i="8"/>
  <c r="AL94" i="8"/>
  <c r="AK47" i="8"/>
  <c r="AK89" i="8"/>
  <c r="AL59" i="8"/>
  <c r="AH32" i="8"/>
  <c r="AJ32" i="8"/>
  <c r="AK84" i="8"/>
  <c r="AH27" i="8"/>
  <c r="AL30" i="8"/>
  <c r="AI64" i="8"/>
  <c r="AJ36" i="8"/>
  <c r="AH50" i="8"/>
  <c r="AK38" i="8"/>
  <c r="AL9" i="8"/>
  <c r="AH96" i="8"/>
  <c r="AJ38" i="8"/>
  <c r="AK9" i="8"/>
  <c r="AJ15" i="8"/>
  <c r="AK41" i="8"/>
  <c r="AL11" i="8"/>
  <c r="AL29" i="8"/>
  <c r="AJ41" i="8"/>
  <c r="AI88" i="8"/>
  <c r="AJ58" i="8"/>
  <c r="AK30" i="8"/>
  <c r="AK37" i="8"/>
  <c r="AI95" i="8"/>
  <c r="AJ65" i="8"/>
  <c r="AK25" i="8"/>
  <c r="AI90" i="8"/>
  <c r="AJ60" i="8"/>
  <c r="AK32" i="8"/>
  <c r="AJ92" i="8"/>
  <c r="AH13" i="8"/>
  <c r="U100" i="8" l="1"/>
  <c r="V101" i="8"/>
  <c r="T101" i="8"/>
  <c r="S100" i="8"/>
  <c r="R101" i="8"/>
  <c r="S101" i="8"/>
  <c r="V100" i="8"/>
  <c r="U101" i="8"/>
  <c r="R100" i="8"/>
  <c r="T100" i="8"/>
  <c r="J102" i="8"/>
  <c r="V86" i="8"/>
  <c r="U86" i="8"/>
  <c r="T86" i="8"/>
  <c r="S86" i="8"/>
  <c r="R86" i="8"/>
  <c r="AK10" i="23"/>
  <c r="AJ95" i="23"/>
  <c r="AJ96" i="23" s="1"/>
  <c r="Q8" i="8"/>
  <c r="J99" i="8"/>
  <c r="Q99" i="8" l="1"/>
  <c r="V99" i="8"/>
  <c r="S99" i="8"/>
  <c r="R99" i="8"/>
  <c r="T99" i="8"/>
  <c r="U99" i="8"/>
  <c r="Q102" i="8"/>
  <c r="S102" i="8"/>
  <c r="U102" i="8"/>
  <c r="T102" i="8"/>
  <c r="V102" i="8"/>
  <c r="R102" i="8"/>
  <c r="J104" i="8"/>
  <c r="AL10" i="23"/>
  <c r="AL95" i="23" s="1"/>
  <c r="AK95" i="23"/>
  <c r="AK96" i="23" s="1"/>
  <c r="AL96" i="23" l="1"/>
  <c r="Z101" i="8" l="1"/>
  <c r="Y100" i="8"/>
  <c r="Y102" i="8"/>
  <c r="Y101" i="8"/>
  <c r="Z100" i="8"/>
  <c r="Y99" i="8"/>
  <c r="Z102" i="8"/>
  <c r="D3" i="18"/>
  <c r="E3" i="18" s="1"/>
  <c r="F3" i="18" s="1"/>
  <c r="G3" i="18" s="1"/>
  <c r="H3" i="18" s="1"/>
  <c r="I3" i="18" s="1"/>
  <c r="J3" i="18" s="1"/>
  <c r="K3" i="18" s="1"/>
  <c r="L3" i="18" s="1"/>
  <c r="M3" i="18" s="1"/>
  <c r="N3" i="18" s="1"/>
  <c r="O3" i="18" s="1"/>
  <c r="P3" i="18" s="1"/>
  <c r="Q3" i="18" s="1"/>
  <c r="R3" i="18" s="1"/>
  <c r="S3" i="18" s="1"/>
  <c r="T3" i="18" s="1"/>
  <c r="U3" i="18" s="1"/>
  <c r="V3" i="18" s="1"/>
  <c r="W3" i="18" s="1"/>
  <c r="X3" i="18" s="1"/>
  <c r="Z99" i="8" l="1"/>
  <c r="Y104" i="8"/>
  <c r="AB102" i="8" l="1"/>
  <c r="AH102" i="8" s="1"/>
  <c r="AC101" i="8"/>
  <c r="AI101" i="8" s="1"/>
  <c r="AB101" i="8"/>
  <c r="AH101" i="8" s="1"/>
  <c r="AC100" i="8"/>
  <c r="AI100" i="8" s="1"/>
  <c r="AD101" i="8" l="1"/>
  <c r="AJ101" i="8" s="1"/>
  <c r="AF101" i="8"/>
  <c r="AL101" i="8" s="1"/>
  <c r="AD100" i="8"/>
  <c r="AJ100" i="8" s="1"/>
  <c r="AC102" i="8"/>
  <c r="AI102" i="8" s="1"/>
  <c r="AE100" i="8"/>
  <c r="AK100" i="8" s="1"/>
  <c r="AE101" i="8"/>
  <c r="AK101" i="8" s="1"/>
  <c r="AD102" i="8"/>
  <c r="AJ102" i="8" s="1"/>
  <c r="AF100" i="8"/>
  <c r="AL100" i="8" s="1"/>
  <c r="AE102" i="8"/>
  <c r="AK102" i="8" s="1"/>
  <c r="AF102" i="8"/>
  <c r="AL102" i="8" s="1"/>
  <c r="AB100" i="8"/>
  <c r="AH100" i="8" s="1"/>
  <c r="AF99" i="8"/>
  <c r="AL99" i="8" s="1"/>
  <c r="AC99" i="8"/>
  <c r="AI99" i="8" s="1"/>
  <c r="AD99" i="8"/>
  <c r="AJ99" i="8" s="1"/>
  <c r="AE99" i="8"/>
  <c r="AK99" i="8" s="1"/>
  <c r="AB99" i="8"/>
  <c r="AH99" i="8" s="1"/>
  <c r="P104" i="8" l="1"/>
  <c r="V104" i="8" s="1"/>
  <c r="L104" i="8"/>
  <c r="R104" i="8" s="1"/>
  <c r="O104" i="8"/>
  <c r="U104" i="8" s="1"/>
  <c r="M104" i="8" l="1"/>
  <c r="S104" i="8" s="1"/>
  <c r="N104" i="8"/>
  <c r="T104" i="8" s="1"/>
  <c r="AB104" i="8" l="1"/>
  <c r="AA100" i="8" l="1"/>
  <c r="AG100" i="8" s="1"/>
  <c r="AA102" i="8"/>
  <c r="AG102" i="8" s="1"/>
  <c r="AA99" i="8"/>
  <c r="AG99" i="8" s="1"/>
  <c r="AA101" i="8"/>
  <c r="AG101" i="8" s="1"/>
  <c r="AA104" i="8" l="1"/>
  <c r="Q81" i="8" l="1"/>
  <c r="AD104" i="8" l="1"/>
  <c r="AE104" i="8"/>
  <c r="AC104" i="8"/>
  <c r="AF104" i="8"/>
  <c r="K104" i="8" l="1"/>
  <c r="Q104" i="8" s="1"/>
  <c r="Q89" i="8"/>
  <c r="Q48" i="8"/>
  <c r="Q46" i="8"/>
  <c r="Q63" i="8"/>
  <c r="R8" i="8" l="1"/>
  <c r="Q49" i="8"/>
  <c r="Q65" i="8"/>
  <c r="Q33" i="8"/>
  <c r="Q87" i="8"/>
  <c r="Q74" i="8"/>
  <c r="Q94" i="8"/>
  <c r="Q37" i="8"/>
  <c r="Q90" i="8"/>
  <c r="Q45" i="8"/>
  <c r="Q93" i="8"/>
  <c r="Q39" i="8"/>
  <c r="Q84" i="8"/>
  <c r="Q83" i="8"/>
  <c r="Q91" i="8"/>
  <c r="Q34" i="8"/>
  <c r="Q27" i="8"/>
  <c r="Q77" i="8"/>
  <c r="Q66" i="8"/>
  <c r="Q67" i="8"/>
  <c r="Q80" i="8"/>
  <c r="Q50" i="8"/>
  <c r="Q44" i="8"/>
  <c r="Q75" i="8"/>
  <c r="Q71" i="8"/>
  <c r="Q76" i="8"/>
  <c r="Q96" i="8"/>
  <c r="Q86" i="8"/>
  <c r="Q29" i="8"/>
  <c r="Q72" i="8"/>
  <c r="Q58" i="8"/>
  <c r="Q28" i="8"/>
  <c r="Q32" i="8"/>
  <c r="Q30" i="8"/>
  <c r="Q55" i="8"/>
  <c r="Q54" i="8"/>
  <c r="Q59" i="8"/>
  <c r="Q62" i="8"/>
  <c r="Q85" i="8"/>
  <c r="Q92" i="8"/>
  <c r="Q31" i="8"/>
  <c r="Q61" i="8"/>
  <c r="Q88" i="8"/>
  <c r="Q47" i="8"/>
  <c r="V8" i="8"/>
  <c r="S8" i="8"/>
  <c r="U8" i="8"/>
  <c r="T8" i="8"/>
  <c r="Q64" i="8"/>
  <c r="Q43" i="8"/>
  <c r="Q73" i="8"/>
  <c r="Q60" i="8"/>
  <c r="Q95" i="8"/>
  <c r="Q36" i="8"/>
  <c r="Q57" i="8"/>
  <c r="Q35" i="8"/>
  <c r="Q53" i="8"/>
  <c r="Q42" i="8"/>
  <c r="Q70" i="8"/>
  <c r="Q51" i="8"/>
  <c r="Q52" i="8"/>
  <c r="Q41" i="8"/>
  <c r="I104" i="8" l="1"/>
  <c r="Z104" i="8"/>
  <c r="Q82" i="8"/>
  <c r="AH104" i="8" l="1"/>
  <c r="AG104" i="8"/>
  <c r="AK104" i="8"/>
  <c r="AL104" i="8"/>
  <c r="AI104" i="8"/>
  <c r="AJ104" i="8"/>
</calcChain>
</file>

<file path=xl/sharedStrings.xml><?xml version="1.0" encoding="utf-8"?>
<sst xmlns="http://schemas.openxmlformats.org/spreadsheetml/2006/main" count="1570" uniqueCount="819">
  <si>
    <t>School Information and Capacity</t>
  </si>
  <si>
    <t>Projected Student Membership</t>
  </si>
  <si>
    <t>Projected Capacity in Use</t>
  </si>
  <si>
    <t>School Information</t>
  </si>
  <si>
    <t>Current Year</t>
  </si>
  <si>
    <t>(Note 4)</t>
  </si>
  <si>
    <t>(Note 5)</t>
  </si>
  <si>
    <t xml:space="preserve">Total Capacity </t>
  </si>
  <si>
    <t>FISH</t>
  </si>
  <si>
    <t>MSID</t>
  </si>
  <si>
    <t>SB</t>
  </si>
  <si>
    <t>Type</t>
  </si>
  <si>
    <t>School</t>
  </si>
  <si>
    <t>Grades</t>
  </si>
  <si>
    <t>Utilization Factor</t>
  </si>
  <si>
    <t>(Note 1)</t>
  </si>
  <si>
    <t>(Note 2)</t>
  </si>
  <si>
    <t>(Note 3)</t>
  </si>
  <si>
    <t>Allen</t>
  </si>
  <si>
    <t>Elementary</t>
  </si>
  <si>
    <t>PK-6</t>
  </si>
  <si>
    <t>Andersen</t>
  </si>
  <si>
    <t>K-6</t>
  </si>
  <si>
    <t>Apollo</t>
  </si>
  <si>
    <t>Atlantis</t>
  </si>
  <si>
    <t>Audubon</t>
  </si>
  <si>
    <t>Cambridge</t>
  </si>
  <si>
    <t>Cape View</t>
  </si>
  <si>
    <t>Carroll</t>
  </si>
  <si>
    <t>Challenger 7</t>
  </si>
  <si>
    <t>Columbia</t>
  </si>
  <si>
    <t>Coquina</t>
  </si>
  <si>
    <t>Creel</t>
  </si>
  <si>
    <t>Croton</t>
  </si>
  <si>
    <t>Discovery</t>
  </si>
  <si>
    <t>Endeavour</t>
  </si>
  <si>
    <t>Enterprise</t>
  </si>
  <si>
    <t>Fairglen</t>
  </si>
  <si>
    <t>Freedom 7</t>
  </si>
  <si>
    <t>Gemini</t>
  </si>
  <si>
    <t>Golfview</t>
  </si>
  <si>
    <t>Harbor City</t>
  </si>
  <si>
    <t>Holland</t>
  </si>
  <si>
    <t>Imperial Estates</t>
  </si>
  <si>
    <t>Indialantic</t>
  </si>
  <si>
    <t>Jupiter</t>
  </si>
  <si>
    <t>Lockmar</t>
  </si>
  <si>
    <t>Longleaf</t>
  </si>
  <si>
    <t>Manatee</t>
  </si>
  <si>
    <t>McAuliffe</t>
  </si>
  <si>
    <t>Meadowlane Intermediate</t>
  </si>
  <si>
    <t>3-6</t>
  </si>
  <si>
    <t>Meadowlane Primary</t>
  </si>
  <si>
    <t>Mila</t>
  </si>
  <si>
    <t>Mims</t>
  </si>
  <si>
    <t>Oak Park</t>
  </si>
  <si>
    <t>Ocean Breeze</t>
  </si>
  <si>
    <t>Palm Bay</t>
  </si>
  <si>
    <t>Pinewood</t>
  </si>
  <si>
    <t>Port Malabar</t>
  </si>
  <si>
    <t>Quest</t>
  </si>
  <si>
    <t>Riviera</t>
  </si>
  <si>
    <t>Roosevelt</t>
  </si>
  <si>
    <t>Sabal</t>
  </si>
  <si>
    <t>Saturn</t>
  </si>
  <si>
    <t>Sea Park</t>
  </si>
  <si>
    <t>Sherwood</t>
  </si>
  <si>
    <t>Stevenson</t>
  </si>
  <si>
    <t>Sunrise</t>
  </si>
  <si>
    <t>Suntree</t>
  </si>
  <si>
    <t>Surfside</t>
  </si>
  <si>
    <t>Tropical</t>
  </si>
  <si>
    <t>Turner</t>
  </si>
  <si>
    <t>University Park</t>
  </si>
  <si>
    <t>West Melbourne</t>
  </si>
  <si>
    <t>Westside</t>
  </si>
  <si>
    <t>Williams</t>
  </si>
  <si>
    <t>Central</t>
  </si>
  <si>
    <t>Middle</t>
  </si>
  <si>
    <t>7-8</t>
  </si>
  <si>
    <t>DeLaura</t>
  </si>
  <si>
    <t>Hoover</t>
  </si>
  <si>
    <t>Jackson</t>
  </si>
  <si>
    <t>Jefferson</t>
  </si>
  <si>
    <t>Johnson</t>
  </si>
  <si>
    <t>Kennedy</t>
  </si>
  <si>
    <t>Madison</t>
  </si>
  <si>
    <t>McNair</t>
  </si>
  <si>
    <t>Southwest</t>
  </si>
  <si>
    <t>Stone</t>
  </si>
  <si>
    <t>Cocoa</t>
  </si>
  <si>
    <t>Jr / Sr High</t>
  </si>
  <si>
    <t>PK, 7-12</t>
  </si>
  <si>
    <t>Cocoa Beach</t>
  </si>
  <si>
    <t>7-12</t>
  </si>
  <si>
    <t>Edgewood</t>
  </si>
  <si>
    <t>Space Coast</t>
  </si>
  <si>
    <t>West Shore</t>
  </si>
  <si>
    <t>Astronaut</t>
  </si>
  <si>
    <t>High</t>
  </si>
  <si>
    <t>9-12</t>
  </si>
  <si>
    <t>Bayside</t>
  </si>
  <si>
    <t>Eau Gallie</t>
  </si>
  <si>
    <t>PK, 9-12</t>
  </si>
  <si>
    <t>Heritage</t>
  </si>
  <si>
    <t>Melbourne</t>
  </si>
  <si>
    <t>Merritt Island</t>
  </si>
  <si>
    <t>Rockledge</t>
  </si>
  <si>
    <t>Satellite</t>
  </si>
  <si>
    <t>Titusville</t>
  </si>
  <si>
    <t>Viera</t>
  </si>
  <si>
    <t>School District 
Group Totals</t>
  </si>
  <si>
    <t>School District Grand Totals</t>
  </si>
  <si>
    <t>Notes:</t>
  </si>
  <si>
    <t xml:space="preserve">Note 1: </t>
  </si>
  <si>
    <t>Utilization Factors are established by the Florida Department of Education's (FDOE) State Requirements for Educational Facilities (SREF).</t>
  </si>
  <si>
    <t xml:space="preserve">Note 2: </t>
  </si>
  <si>
    <t xml:space="preserve">Note 3: </t>
  </si>
  <si>
    <t xml:space="preserve">Factored Capacity is calculated by multiplying Satisfactory Student Stations by the Utilization Factor.  Total Factored Capacity is the addition of the </t>
  </si>
  <si>
    <t xml:space="preserve">Permanent Factored Capacity plus the Relocatable Factored Capacity. </t>
  </si>
  <si>
    <t xml:space="preserve">Note 4: </t>
  </si>
  <si>
    <t xml:space="preserve">Note 5: </t>
  </si>
  <si>
    <t>Gardendale Education Center</t>
  </si>
  <si>
    <t>INDIALANTIC</t>
  </si>
  <si>
    <t>MIMS</t>
  </si>
  <si>
    <t>PALM BAY</t>
  </si>
  <si>
    <t>PORT MALABAR</t>
  </si>
  <si>
    <t>Riverview School</t>
  </si>
  <si>
    <t>WEST MELBOURNE</t>
  </si>
  <si>
    <t>CENTRAL MIDDLE</t>
  </si>
  <si>
    <t>COCOA BEACH JR/SR HIGH</t>
  </si>
  <si>
    <t>DELAURA MIDDLE</t>
  </si>
  <si>
    <t>HERITAGE HIGH</t>
  </si>
  <si>
    <t>SOUTHWEST MIDDLE</t>
  </si>
  <si>
    <t>TITUSVILLE HIGH</t>
  </si>
  <si>
    <t>WEST SHORE JR/SR HIGH</t>
  </si>
  <si>
    <t>RIVERVIEW SCHOOL</t>
  </si>
  <si>
    <t>South Area Head Start</t>
  </si>
  <si>
    <t>Clearlake Education Center</t>
  </si>
  <si>
    <t>South Pine Grove School</t>
  </si>
  <si>
    <t>Ancillary</t>
  </si>
  <si>
    <t>6-12</t>
  </si>
  <si>
    <t>PK-12</t>
  </si>
  <si>
    <t>ALL</t>
  </si>
  <si>
    <t>FAC</t>
  </si>
  <si>
    <t>PAR</t>
  </si>
  <si>
    <t>USE</t>
  </si>
  <si>
    <t>COC</t>
  </si>
  <si>
    <t>FACILITY NAME</t>
  </si>
  <si>
    <t>STREET ADDRESS</t>
  </si>
  <si>
    <t>CITY/TOWN</t>
  </si>
  <si>
    <t>OWN</t>
  </si>
  <si>
    <t>ACRES</t>
  </si>
  <si>
    <t>LOW/
HIGH GRADE</t>
  </si>
  <si>
    <t>YEAR ACQ</t>
  </si>
  <si>
    <t>PERM TOT BLDG</t>
  </si>
  <si>
    <t>PERM NSF</t>
  </si>
  <si>
    <t>PERM STA</t>
  </si>
  <si>
    <t>RELOC UNITS</t>
  </si>
  <si>
    <t>RELOC NSF</t>
  </si>
  <si>
    <t>RELOC STA</t>
  </si>
  <si>
    <t>MOD
UNITS</t>
  </si>
  <si>
    <t>MOD
NSF</t>
  </si>
  <si>
    <t>MOD
STA</t>
  </si>
  <si>
    <t>TOTAL NSF</t>
  </si>
  <si>
    <t>TOTAL CLASS ROOMS</t>
  </si>
  <si>
    <t>150 TERRIER TRAIL SOUTH</t>
  </si>
  <si>
    <t>TITUSVILLE</t>
  </si>
  <si>
    <t>09 12</t>
  </si>
  <si>
    <t>OAK PARK ELEMENTARY</t>
  </si>
  <si>
    <t>3395 DAIRY ROAD</t>
  </si>
  <si>
    <t>PK 06</t>
  </si>
  <si>
    <t>JAMES MADISON MIDDLE</t>
  </si>
  <si>
    <t>3375 DAIRY ROAD</t>
  </si>
  <si>
    <t>07 08</t>
  </si>
  <si>
    <t>APOLLO ELEMENTARY</t>
  </si>
  <si>
    <t>3085 KNOX MCRAE DRIVE</t>
  </si>
  <si>
    <t>3000 JOLLY STREET</t>
  </si>
  <si>
    <t>COQUINA ELEMENTARY</t>
  </si>
  <si>
    <t>850 KNOX MCRAE DRIVE</t>
  </si>
  <si>
    <t>MIMS ELEMENTARY</t>
  </si>
  <si>
    <t>2582 U S HIGHWAY 1</t>
  </si>
  <si>
    <t>CUYLER SCHOOL</t>
  </si>
  <si>
    <t>2327 HARRY T MOORE AVENUE</t>
  </si>
  <si>
    <t>SOUTH LAKE EDUCATION CENTER</t>
  </si>
  <si>
    <t>3755 GARDEN STREET</t>
  </si>
  <si>
    <t>AE AE</t>
  </si>
  <si>
    <t>ANDREW JACKSON MIDDLE</t>
  </si>
  <si>
    <t>1515 KNOX MCRAE DRIVE</t>
  </si>
  <si>
    <t>IMPERIAL ESTATES ELEMENTARY</t>
  </si>
  <si>
    <t>900 IMPERIAL ESTATE LANE</t>
  </si>
  <si>
    <t>KG 06</t>
  </si>
  <si>
    <t>ASTRONAUT SENIOR HIGH</t>
  </si>
  <si>
    <t>800 WAR EAGLE BOULEVARD</t>
  </si>
  <si>
    <t>PINEWOOD ELEMENTARY</t>
  </si>
  <si>
    <t>3757 OLD DIXIE HIGHWAY</t>
  </si>
  <si>
    <t>CHALLENGER 7 ELEMENTARY</t>
  </si>
  <si>
    <t>6135 RENA DRIVE</t>
  </si>
  <si>
    <t>COCOA</t>
  </si>
  <si>
    <t>ATLANTIS ELEMENTARY</t>
  </si>
  <si>
    <t>7300 BRIGGS AVENUE</t>
  </si>
  <si>
    <t>ROCKLEDGE SENIOR HIGH</t>
  </si>
  <si>
    <t>220 ROCKLEDGE AVE</t>
  </si>
  <si>
    <t>ROCKLEDGE</t>
  </si>
  <si>
    <t>CLEARLAKE EDUCATION CENTER</t>
  </si>
  <si>
    <t>1225 CLEARLAKE ROAD</t>
  </si>
  <si>
    <t>CAMBRIDGE ELEMENTARY MAGNET</t>
  </si>
  <si>
    <t>2000 CAMBRIDGE DRIVE</t>
  </si>
  <si>
    <t>ENDEAVOUR ELEMENTARY MAGNET</t>
  </si>
  <si>
    <t>905 PINEDA STREET</t>
  </si>
  <si>
    <t>GOLFVIEW ELEMENTARY MAGNET</t>
  </si>
  <si>
    <t>1530 S FISKE BOULEVARD</t>
  </si>
  <si>
    <t xml:space="preserve">RONALD MCNAIR MIDDLE </t>
  </si>
  <si>
    <t>1 CHALLENGER DRIVE</t>
  </si>
  <si>
    <t>FAIRGLEN ELEMENTARY</t>
  </si>
  <si>
    <t>201 INDIAN TRAIL</t>
  </si>
  <si>
    <t>JOHN F KENNEDY MIDDLE</t>
  </si>
  <si>
    <t>2100 S FISKE BOULEVARD</t>
  </si>
  <si>
    <t>COCOA JR/SR HIGH</t>
  </si>
  <si>
    <t>2000 TIGER TRAIL</t>
  </si>
  <si>
    <t>07 12</t>
  </si>
  <si>
    <t>SATURN ELEMENTARY</t>
  </si>
  <si>
    <t>880 RANGE ROAD</t>
  </si>
  <si>
    <t>HANS CHRISTIAN ANDERSEN ELEMENTARY</t>
  </si>
  <si>
    <t>3011 S FISKE BOULEVARD</t>
  </si>
  <si>
    <t>MELBOURNE SENIOR HIGH</t>
  </si>
  <si>
    <t>74 BULLDOG BOULEVARD</t>
  </si>
  <si>
    <t>MELBOURNE</t>
  </si>
  <si>
    <t>PALM BAY MAGNET SENIOR HIGH</t>
  </si>
  <si>
    <t>101 PIRATE LANE</t>
  </si>
  <si>
    <t>WEST MELBOURNE ELEMENTARY SCHOOL FOR SCIENCE</t>
  </si>
  <si>
    <t>2255 MEADOWLANE AVENUE</t>
  </si>
  <si>
    <t xml:space="preserve">UNIVERSITY PARK ELEMENTARY </t>
  </si>
  <si>
    <t>500 W UNIVERSITY BOULEVARD</t>
  </si>
  <si>
    <t>PORT MALABAR ELEMENTARY</t>
  </si>
  <si>
    <t>301 PIONEER AVENUE NE</t>
  </si>
  <si>
    <t>STONE MAGNET MIDDLE</t>
  </si>
  <si>
    <t>1101 E UNIVERSITY BOULEVARD</t>
  </si>
  <si>
    <t>PALM BAY ELEMENTARY</t>
  </si>
  <si>
    <t>1200 ALLAMANDA ROAD NE</t>
  </si>
  <si>
    <t>LOCKMAR ELEMENTARY</t>
  </si>
  <si>
    <t>525 PEPPER STREET NE</t>
  </si>
  <si>
    <t>JOHN F TURNER SR ELEMENTARY</t>
  </si>
  <si>
    <t>3175 JUPITER BOULEVARD SE</t>
  </si>
  <si>
    <t>451 ELDRON BOULEVARD SE</t>
  </si>
  <si>
    <t>COLUMBIA ELEMENTARY</t>
  </si>
  <si>
    <t>1225 WACO BOULEVARD SE</t>
  </si>
  <si>
    <t>DISCOVERY ELEMENTARY</t>
  </si>
  <si>
    <t>1275 GLENDALE AVENUE NW</t>
  </si>
  <si>
    <t>CHRISTA MCAULIFFE ELEMENTARY</t>
  </si>
  <si>
    <t>155 DEL MUNDO AVENUE NW</t>
  </si>
  <si>
    <t>RIVIERA ELEMENTARY</t>
  </si>
  <si>
    <t>351 RIVIERA DRIVE NE</t>
  </si>
  <si>
    <t>JUPITER ELEMENTARY</t>
  </si>
  <si>
    <t>950 TUPELO ROAD SW</t>
  </si>
  <si>
    <t>EAU GALLIE SENIOR HIGH</t>
  </si>
  <si>
    <t>1400 COMMODORE BOULEVARD</t>
  </si>
  <si>
    <t>250 WILDCAT ALLEY</t>
  </si>
  <si>
    <t>LYNDON B JOHNSON MIDDLE</t>
  </si>
  <si>
    <t>2155 CROTON ROAD</t>
  </si>
  <si>
    <t>SHERWOOD ELEMENTARY</t>
  </si>
  <si>
    <t>2541 POST ROAD</t>
  </si>
  <si>
    <t>MID-SOUTH AREA SUPPORT SERVICES</t>
  </si>
  <si>
    <t>1948 PINEAPPLE AVENUE</t>
  </si>
  <si>
    <t>DS DS</t>
  </si>
  <si>
    <t>HARBOR CITY ELEMENTARY</t>
  </si>
  <si>
    <t>1377 SARNO ROAD</t>
  </si>
  <si>
    <t>SABAL ELEMENTARY</t>
  </si>
  <si>
    <t>1401 N WICKHAM ROAD</t>
  </si>
  <si>
    <t>SOUTH PINE GROVE SCHOOL</t>
  </si>
  <si>
    <t>2175 N WICKHAM ROAD</t>
  </si>
  <si>
    <t>CROTON ELEMENTARY</t>
  </si>
  <si>
    <t>1449 CROTON ROAD</t>
  </si>
  <si>
    <t>ROY ALLEN ELEMENTARY</t>
  </si>
  <si>
    <t>2601 FOUNTAINHEAD BOULEVARD</t>
  </si>
  <si>
    <t>SUNTREE ELEMENTARY</t>
  </si>
  <si>
    <t>900 JORDAN BLASS DRIVE</t>
  </si>
  <si>
    <t>MERRITT ISLAND SENIOR HIGH</t>
  </si>
  <si>
    <t>100 E MUSTANG WAY</t>
  </si>
  <si>
    <t>MERRITT ISLAND</t>
  </si>
  <si>
    <t>EDGEWOOD JR/ SR HIGH</t>
  </si>
  <si>
    <t>180 E MERRITT AVENUE</t>
  </si>
  <si>
    <t>MILA ELEMENTARY</t>
  </si>
  <si>
    <t>288 W MERRITT AVENUE</t>
  </si>
  <si>
    <t>TROPICAL ELEMENTARY</t>
  </si>
  <si>
    <t>885 S COURTENAY PARKWAY</t>
  </si>
  <si>
    <t>AUDUBON ELEMENTARY</t>
  </si>
  <si>
    <t>1201 N BANANA RIVER DRIVE</t>
  </si>
  <si>
    <t>GARDENDALE EDUCATION CENTER</t>
  </si>
  <si>
    <t>301 GROVE BOULEVARD</t>
  </si>
  <si>
    <t>THOMAS JEFFERSON MIDDLE</t>
  </si>
  <si>
    <t>1275 S COURTENAY PARKWAY</t>
  </si>
  <si>
    <t>LEWIS CARROLL ELEMENTARY</t>
  </si>
  <si>
    <t>1 SKYLINE BOULEVARD</t>
  </si>
  <si>
    <t>1500 MINUTEMAN CAUSEWAY</t>
  </si>
  <si>
    <t>COCOA BEACH</t>
  </si>
  <si>
    <t>THEODORE ROOSEVELT ELEMENTARY</t>
  </si>
  <si>
    <t>1400 MINUTEMAN CAUSEWAY</t>
  </si>
  <si>
    <t>FREEDOM 7 ELEMENTARY SCHOOL OF INTERNATIONAL STUDIES</t>
  </si>
  <si>
    <t>400 4TH STREET</t>
  </si>
  <si>
    <t>CAPE VIEW ELEMENTARY</t>
  </si>
  <si>
    <t>8440 N ROSALIND AVENUE</t>
  </si>
  <si>
    <t>CAPE CANAVERAL</t>
  </si>
  <si>
    <t>SATELLITE SENIOR HIGH</t>
  </si>
  <si>
    <t>300 SCORPION COURT</t>
  </si>
  <si>
    <t>SATELLITE BEACH</t>
  </si>
  <si>
    <t>300 JACKSON AVENUE</t>
  </si>
  <si>
    <t>SPESSARD L HOLLAND ELEMENTARY</t>
  </si>
  <si>
    <t>50 HOLLAND COURT</t>
  </si>
  <si>
    <t>SEA PARK ELEMENTARY</t>
  </si>
  <si>
    <t>300 SEA PARK BOULEVARD</t>
  </si>
  <si>
    <t>SURFSIDE ELEMENTARY</t>
  </si>
  <si>
    <t>475 CASSIA BOULEVARD</t>
  </si>
  <si>
    <t>OCEAN BREEZE ELEMENTARY</t>
  </si>
  <si>
    <t>1101 CHEYENNE DRIVE</t>
  </si>
  <si>
    <t>INDIAN HARBOUR BEACH</t>
  </si>
  <si>
    <t>INDIALANTIC ELEMENTARY</t>
  </si>
  <si>
    <t>1050 N PALM AVENUE</t>
  </si>
  <si>
    <t>HERBERT C HOOVER MIDDLE</t>
  </si>
  <si>
    <t>2000 HAWK HAVEN DRIVE</t>
  </si>
  <si>
    <t>GEMINI ELEMENTARY</t>
  </si>
  <si>
    <t>2100 S OAK STREET</t>
  </si>
  <si>
    <t>MELBOURNE BEACH</t>
  </si>
  <si>
    <t>DR W J CREEL ELEMENTARY</t>
  </si>
  <si>
    <t>2000 GLENWOOD DRIVE</t>
  </si>
  <si>
    <t>NORTH AREA TRANSPORTATION SERVICES</t>
  </si>
  <si>
    <t>1500 DRAA ROAD</t>
  </si>
  <si>
    <t>MCLARTY STADIUM</t>
  </si>
  <si>
    <t>MURRELL ROAD</t>
  </si>
  <si>
    <t>PLANT OPERATIONS AND MAINTENANCE</t>
  </si>
  <si>
    <t>1254 S FLORIDA AVENUE</t>
  </si>
  <si>
    <t>520 BUS COMPOUND</t>
  </si>
  <si>
    <t>2091 W KING STREET (SR 50)</t>
  </si>
  <si>
    <t>MELBOURNE BUS COMPOUND</t>
  </si>
  <si>
    <t>3200 MONROE STREET</t>
  </si>
  <si>
    <t>ROBERT LOUIS STEVENSON ELEMENTARY SCHOOL OF THE ARTS</t>
  </si>
  <si>
    <t>1450 MARTIN BOULEVARD</t>
  </si>
  <si>
    <t>EDUCATIONAL SERVICES FACILITY</t>
  </si>
  <si>
    <t>2700 JUDGE FRAN JAMIESON WAY</t>
  </si>
  <si>
    <t>VIERA</t>
  </si>
  <si>
    <t>ENTERPRISE ELEMENTARY</t>
  </si>
  <si>
    <t>7000 ENTERPRISE ROAD</t>
  </si>
  <si>
    <t>MEADOWLANE PRIMARY ELEMENTARY</t>
  </si>
  <si>
    <t>2800 WINGATE BOULEVARD</t>
  </si>
  <si>
    <t>SPACE COAST JR/ SR HIGH</t>
  </si>
  <si>
    <t>6150 BANYAN STREET</t>
  </si>
  <si>
    <t>LONGLEAF ELEMENTARY</t>
  </si>
  <si>
    <t>4290 N WICKHAM ROAD</t>
  </si>
  <si>
    <t>BAYSIDE SENIOR HIGH</t>
  </si>
  <si>
    <t>1901 DEGROODT ROAD SW</t>
  </si>
  <si>
    <t>WESTSIDE ELEMENTARY</t>
  </si>
  <si>
    <t>2175 DEGROODT ROAD SW</t>
  </si>
  <si>
    <t>2600 WINGATE BOULEVARD</t>
  </si>
  <si>
    <t>RALPH M WILLIAMS JR ELEMENTARY</t>
  </si>
  <si>
    <t>1700 CLUBHOUSE DRIVE</t>
  </si>
  <si>
    <t>MANATEE ELEMENTARY</t>
  </si>
  <si>
    <t>3425 VIERA BOULEVARD</t>
  </si>
  <si>
    <t>MANATEE BUS COMPOUND</t>
  </si>
  <si>
    <t>QUEST ELEMENTARY</t>
  </si>
  <si>
    <t>8751 TRAFFORD DR</t>
  </si>
  <si>
    <t>VIERA HIGH SCHOOL</t>
  </si>
  <si>
    <t>6103 STADIUM WAY</t>
  </si>
  <si>
    <t>SUNRISE ELEMENTARY</t>
  </si>
  <si>
    <t>1651 MARA LOMA BLVD</t>
  </si>
  <si>
    <t>OLD CREEL BUS COMPOUND</t>
  </si>
  <si>
    <t>815 MATHERS ST</t>
  </si>
  <si>
    <t>WESTSIDE BUS COMPOUND</t>
  </si>
  <si>
    <t>2175 DEGROODT SW</t>
  </si>
  <si>
    <t>MEADOWLANE INTERMEDIATE ELEMENTARY</t>
  </si>
  <si>
    <t>2700 WINGATE BLVD</t>
  </si>
  <si>
    <t>03 06</t>
  </si>
  <si>
    <t>BEACHSIDE OFFICE</t>
  </si>
  <si>
    <t>331 RAMP ROAD</t>
  </si>
  <si>
    <t>GIBSON PARK</t>
  </si>
  <si>
    <t>Gibson Field Sycamore St</t>
  </si>
  <si>
    <t>2353 WEST MALABAR RD</t>
  </si>
  <si>
    <t>Pointsett Macco Dr</t>
  </si>
  <si>
    <t>Pt St John</t>
  </si>
  <si>
    <t>State Road 50</t>
  </si>
  <si>
    <t>Bike Path Shady Run Rd</t>
  </si>
  <si>
    <t>Sunshine Groves Pkwy</t>
  </si>
  <si>
    <t>Krassner Blvd</t>
  </si>
  <si>
    <t>San Filippo Ave</t>
  </si>
  <si>
    <t>Wyoming Dr</t>
  </si>
  <si>
    <t>Melbourne Marl Pit 4475 US 192</t>
  </si>
  <si>
    <t>Rotary Park South SR 3</t>
  </si>
  <si>
    <t>Huntington Ln</t>
  </si>
  <si>
    <t>Student Enrollment Projections and 
School Capacity Analysis (Total Factored Capacity)</t>
  </si>
  <si>
    <t>South Lake</t>
  </si>
  <si>
    <t>Palm Bay Elem</t>
  </si>
  <si>
    <t>Palm Bay High</t>
  </si>
  <si>
    <t xml:space="preserve">FACILITY: </t>
  </si>
  <si>
    <t>FACILITY USE:</t>
  </si>
  <si>
    <t xml:space="preserve">CONDITION: </t>
  </si>
  <si>
    <t>Student</t>
  </si>
  <si>
    <t/>
  </si>
  <si>
    <t>Final Growth Management Projections</t>
  </si>
  <si>
    <t>Budget Member-ship Projections</t>
  </si>
  <si>
    <t>Combined Projections</t>
  </si>
  <si>
    <t>GM minus Budget</t>
  </si>
  <si>
    <t>Combined Projections
Year to Year Projected Change</t>
  </si>
  <si>
    <t>AR</t>
  </si>
  <si>
    <t>TY</t>
  </si>
  <si>
    <t>SCHOOL</t>
  </si>
  <si>
    <t>C</t>
  </si>
  <si>
    <t>Allen Elementary</t>
  </si>
  <si>
    <t>S</t>
  </si>
  <si>
    <t>Andersen Elementary</t>
  </si>
  <si>
    <t>N</t>
  </si>
  <si>
    <t>Apollo Elementary</t>
  </si>
  <si>
    <t>Atlantis Elementary</t>
  </si>
  <si>
    <t>Audubon Elementary</t>
  </si>
  <si>
    <t>Cambridge Elementary</t>
  </si>
  <si>
    <t>Capeview Elementary</t>
  </si>
  <si>
    <t>Carroll Elementary</t>
  </si>
  <si>
    <t>Challenger 7 Elementary</t>
  </si>
  <si>
    <t>Columbia Elementary</t>
  </si>
  <si>
    <t>Coquina Elementary</t>
  </si>
  <si>
    <t>Creel Elementary</t>
  </si>
  <si>
    <t>Croton Elementary</t>
  </si>
  <si>
    <t>Discovery Elementary</t>
  </si>
  <si>
    <t>Endeavour Elementary</t>
  </si>
  <si>
    <t>Enterprise Elementary</t>
  </si>
  <si>
    <t>Fairglen Elementary</t>
  </si>
  <si>
    <t>Freedom 7 School Of International Studies</t>
  </si>
  <si>
    <t>Gemini Elementary</t>
  </si>
  <si>
    <t>Golfview Elementary</t>
  </si>
  <si>
    <t>Harbor City Elementary</t>
  </si>
  <si>
    <t>Holland Elementary</t>
  </si>
  <si>
    <t>Imperial Estates Elementary</t>
  </si>
  <si>
    <t>Indialantic Elementary</t>
  </si>
  <si>
    <t>Jupiter Elementary</t>
  </si>
  <si>
    <t>Lockmar Elementary</t>
  </si>
  <si>
    <t>Longleaf Elementary</t>
  </si>
  <si>
    <t>Manatee Elementary</t>
  </si>
  <si>
    <t>McAuliffe Elementary</t>
  </si>
  <si>
    <t>MILA Elementary</t>
  </si>
  <si>
    <t>Mims Elementary</t>
  </si>
  <si>
    <t>Oakpark Elementary</t>
  </si>
  <si>
    <t>Ocean Breeze Elem</t>
  </si>
  <si>
    <t>Pinewood Elementary</t>
  </si>
  <si>
    <t>Port Malabar Elem</t>
  </si>
  <si>
    <t>Quest Elementary</t>
  </si>
  <si>
    <t>Riviera Elementary</t>
  </si>
  <si>
    <t>Roosevelt Elementay</t>
  </si>
  <si>
    <t>Sabal Elementary</t>
  </si>
  <si>
    <t>Saturn Elementary</t>
  </si>
  <si>
    <t>Sea Park Elementary</t>
  </si>
  <si>
    <t>Sherwood Elementary</t>
  </si>
  <si>
    <t>South Lake Elementary</t>
  </si>
  <si>
    <t>Stevenson School Of  The Arts</t>
  </si>
  <si>
    <t>Sunrise Elementary</t>
  </si>
  <si>
    <t>Suntree Elementary</t>
  </si>
  <si>
    <t>Surfside Elementary</t>
  </si>
  <si>
    <t>Tropical Elementary</t>
  </si>
  <si>
    <t>Turner Elementary</t>
  </si>
  <si>
    <t>University Park Elem</t>
  </si>
  <si>
    <t>West Melbourne School For Science</t>
  </si>
  <si>
    <t>Westside Elem</t>
  </si>
  <si>
    <t>Williams Elementary</t>
  </si>
  <si>
    <t>Central Middle</t>
  </si>
  <si>
    <t>DeLaura Middle</t>
  </si>
  <si>
    <t>Hoover Middle</t>
  </si>
  <si>
    <t>Jackson Middle</t>
  </si>
  <si>
    <t>Jefferson Middle</t>
  </si>
  <si>
    <t>Johnson Middle</t>
  </si>
  <si>
    <t>Kennedy Middle</t>
  </si>
  <si>
    <t>Madison Middle</t>
  </si>
  <si>
    <t>McNair Middle</t>
  </si>
  <si>
    <t>Southwest Middle</t>
  </si>
  <si>
    <t>Stone Middle</t>
  </si>
  <si>
    <t>Cocoa  Jr/Sr High</t>
  </si>
  <si>
    <t>Cocoa Beach Jr/Sr High</t>
  </si>
  <si>
    <t>Edgewood Jr/Sr High</t>
  </si>
  <si>
    <t>Space Coast Jr/Sr High</t>
  </si>
  <si>
    <t>West Shore Jr/Sr High</t>
  </si>
  <si>
    <t>Astronaut High</t>
  </si>
  <si>
    <t>Bayside High</t>
  </si>
  <si>
    <t>Eau Gallie High</t>
  </si>
  <si>
    <t>Heritage High</t>
  </si>
  <si>
    <t>Melbourne High</t>
  </si>
  <si>
    <t>Merritt Island High</t>
  </si>
  <si>
    <t>Rockledge High</t>
  </si>
  <si>
    <t>Satellite High</t>
  </si>
  <si>
    <t>Titusville High</t>
  </si>
  <si>
    <t>Viera High</t>
  </si>
  <si>
    <t>Yearly Change</t>
  </si>
  <si>
    <t>Difference</t>
  </si>
  <si>
    <t>Elem</t>
  </si>
  <si>
    <t>5 Year Difference</t>
  </si>
  <si>
    <t>Mid</t>
  </si>
  <si>
    <t>Jr/Sr</t>
  </si>
  <si>
    <t>Note 1:</t>
  </si>
  <si>
    <t xml:space="preserve">Permanent Capacity </t>
  </si>
  <si>
    <t>VIERA ELEMENTARY SCHOOL</t>
  </si>
  <si>
    <t>2025-26</t>
  </si>
  <si>
    <t>Gardendale</t>
  </si>
  <si>
    <t>2026-27</t>
  </si>
  <si>
    <t>Viera Elementary</t>
  </si>
  <si>
    <t>**Updated Permanent Capacity Table for SAP Capacity Utilization Maps</t>
  </si>
  <si>
    <t>2027-28</t>
  </si>
  <si>
    <t>=</t>
  </si>
  <si>
    <t>PERMANENT CAPACITY</t>
  </si>
  <si>
    <t>TOTAL CAPACITY</t>
  </si>
  <si>
    <t>Grand Total</t>
  </si>
  <si>
    <t>Viera El</t>
  </si>
  <si>
    <t>Palm Bay El</t>
  </si>
  <si>
    <t>2028-29</t>
  </si>
  <si>
    <t>PK 03</t>
  </si>
  <si>
    <t>Viera Middle</t>
  </si>
  <si>
    <t>Report</t>
  </si>
  <si>
    <t>(Multiple Items)</t>
  </si>
  <si>
    <t>Sum of Amount</t>
  </si>
  <si>
    <t>0051 - Oak Park Elementary School</t>
  </si>
  <si>
    <t>0061 - Apollo Elementary School</t>
  </si>
  <si>
    <t>0091 - Coquina Elementary School</t>
  </si>
  <si>
    <t>0101 - Mims Elementary School</t>
  </si>
  <si>
    <t>0122 - South Lake Elementary</t>
  </si>
  <si>
    <t>0151 - Imperial Estates Elementary</t>
  </si>
  <si>
    <t>0181 - Pinewood Elementary School</t>
  </si>
  <si>
    <t>0191 - Challenger 7 Elementary</t>
  </si>
  <si>
    <t>0201 - Atlantis Elementary School</t>
  </si>
  <si>
    <t>0301 - Enterprise Elementary School</t>
  </si>
  <si>
    <t>1041 - Cambridge Elementary School</t>
  </si>
  <si>
    <t>1051 - Endeavour Elementary School</t>
  </si>
  <si>
    <t>1071 - Golfview Elem Magnet School</t>
  </si>
  <si>
    <t>1091 - Fairglen Elementary School</t>
  </si>
  <si>
    <t>1131 - Saturn Elementary School</t>
  </si>
  <si>
    <t>1141 - Hans Christian Andersen Elem</t>
  </si>
  <si>
    <t>1151 - Ralph M. Williams, Jr Elem.</t>
  </si>
  <si>
    <t>1161 - Manatee Elementary</t>
  </si>
  <si>
    <t>2031 - Meadowlane Intermediate Elem</t>
  </si>
  <si>
    <t>2041 - Meadowlane Primary Elem</t>
  </si>
  <si>
    <t>2042 - West Melbourne Sch for Science</t>
  </si>
  <si>
    <t>2051 - University Park Elementary</t>
  </si>
  <si>
    <t>2061 - Port Malabar Elementary</t>
  </si>
  <si>
    <t>2081 - Palm Bay Elementary School</t>
  </si>
  <si>
    <t>2111 - Lockmar Elementary School</t>
  </si>
  <si>
    <t>2121 - John F. Turner Elementary</t>
  </si>
  <si>
    <t>2131 - Columbia Elementary School</t>
  </si>
  <si>
    <t>2151 - Discovery Elementary School</t>
  </si>
  <si>
    <t>2161 - Christa McAuliffe Elementary</t>
  </si>
  <si>
    <t>2171 - Riviera Elementary School</t>
  </si>
  <si>
    <t>2191 - Jupiter Elementary School</t>
  </si>
  <si>
    <t>2212 - Westside Elementary School</t>
  </si>
  <si>
    <t>2221 - Sunrise Elementary</t>
  </si>
  <si>
    <t>3041 - Sherwood Elementary School</t>
  </si>
  <si>
    <t>3061 - Harbor City Elementary School</t>
  </si>
  <si>
    <t>3071 - Sabal Elementary School</t>
  </si>
  <si>
    <t>3091 - Croton Elementary School</t>
  </si>
  <si>
    <t>3101 - Roy Allen Elementary School</t>
  </si>
  <si>
    <t>3121 - Suntree Elementary School</t>
  </si>
  <si>
    <t>3131 - Longleaf Elementary School</t>
  </si>
  <si>
    <t>3151 - Quest Elementary</t>
  </si>
  <si>
    <t>3161 - Viera Elementary</t>
  </si>
  <si>
    <t>4031 - Mila Elementary School</t>
  </si>
  <si>
    <t>4041 - Tropical Elementary School</t>
  </si>
  <si>
    <t>4051 - Audubon Elementary School</t>
  </si>
  <si>
    <t>4071 - Robert L Stevenson Sch of Arts</t>
  </si>
  <si>
    <t>4121 - Lewis Carroll Elementary</t>
  </si>
  <si>
    <t>5012 - Theodore Roosevelt Elementary</t>
  </si>
  <si>
    <t>5021 - Freedom 7 -International Study</t>
  </si>
  <si>
    <t>5031 - Cape View Elementary School</t>
  </si>
  <si>
    <t>6013 - Spessard L. Holland Elementary</t>
  </si>
  <si>
    <t>6051 - Sea Park Elementary</t>
  </si>
  <si>
    <t>6061 - Surfside Elementary School</t>
  </si>
  <si>
    <t>6071 - Ocean Breeze Elementary School</t>
  </si>
  <si>
    <t>6081 - Indialantic Elementary School</t>
  </si>
  <si>
    <t>6101 - Gemini Elementary School</t>
  </si>
  <si>
    <t>6141 - Dr. W.J. Creel Elementary</t>
  </si>
  <si>
    <t>Middle School</t>
  </si>
  <si>
    <t>0052 - James Madison Middle School</t>
  </si>
  <si>
    <t>0141 - Andrew Jackson Middle School</t>
  </si>
  <si>
    <t>1081 - Ronald McNair Magnet Middle</t>
  </si>
  <si>
    <t>1101 - John F. Kennedy Middle School</t>
  </si>
  <si>
    <t>2071 - Stone Magnet Middle School</t>
  </si>
  <si>
    <t>2122 - Southwest Middle School</t>
  </si>
  <si>
    <t>3021 - Central Middle School</t>
  </si>
  <si>
    <t>3031 - L.B. Johnson Middle School</t>
  </si>
  <si>
    <t>4111 - Thomas Jefferson Middle School</t>
  </si>
  <si>
    <t>6012 - DeLaura Middle School</t>
  </si>
  <si>
    <t>6082 - Herbert C. Hoover Middle Schl</t>
  </si>
  <si>
    <t>Junior/Senior</t>
  </si>
  <si>
    <t>0302 - Space Coast Junior/Senior High</t>
  </si>
  <si>
    <t>1121 - Cocoa High School</t>
  </si>
  <si>
    <t>3141 - West Shore Junior/Senior High</t>
  </si>
  <si>
    <t>4021 - Edgewood Junior/Senior High</t>
  </si>
  <si>
    <t>5011 - Cocoa Beach Junior/Senior High</t>
  </si>
  <si>
    <t>Senior High</t>
  </si>
  <si>
    <t>0011 - Titusville High School</t>
  </si>
  <si>
    <t>0161 - Astronaut High School</t>
  </si>
  <si>
    <t>1011 - Rockledge High School</t>
  </si>
  <si>
    <t>1171 - Viera High</t>
  </si>
  <si>
    <t>2011 - Melbourne High School</t>
  </si>
  <si>
    <t>2021 - Palm Bay Magnet High School</t>
  </si>
  <si>
    <t>2211 - Bayside High School</t>
  </si>
  <si>
    <t>2311 - Heritage High School</t>
  </si>
  <si>
    <t>3011 - Eau Gallie High School</t>
  </si>
  <si>
    <t>4011 - Merritt Island High School</t>
  </si>
  <si>
    <t>6011 - Satellite High School</t>
  </si>
  <si>
    <t>Special Center</t>
  </si>
  <si>
    <t>0089 - Gardendale Separate Day School</t>
  </si>
  <si>
    <t>1002 - Group Treatment Home</t>
  </si>
  <si>
    <t>1014 - Brevard County Jail</t>
  </si>
  <si>
    <t>1017 - North/Central ALC</t>
  </si>
  <si>
    <t>1018 - South ALC</t>
  </si>
  <si>
    <t>1021 - PreK ESE Services</t>
  </si>
  <si>
    <t>1025 - Brevard Juvenile Detention Cnt</t>
  </si>
  <si>
    <t>1027 - Melb Cntr for Personal Growth</t>
  </si>
  <si>
    <t>1028 - Devereux Florida Treatment</t>
  </si>
  <si>
    <t>1073 - Project Search</t>
  </si>
  <si>
    <t>7004 - Brevard Virtual School</t>
  </si>
  <si>
    <t>N998</t>
  </si>
  <si>
    <t>N998 - Home Education</t>
  </si>
  <si>
    <t>Charter School</t>
  </si>
  <si>
    <t>6501 - Palm Bay Academy</t>
  </si>
  <si>
    <t>6507 - Odyssey Charter School</t>
  </si>
  <si>
    <t>6508 - Sculptor Charter School</t>
  </si>
  <si>
    <t>6509 - Royal Palm Charter School</t>
  </si>
  <si>
    <t>6511 - W Melbourne Educ Horizons Chtr</t>
  </si>
  <si>
    <t>6515 - Imagine Schls at W. Melbourne</t>
  </si>
  <si>
    <t>6521 - Riverside Charter High School</t>
  </si>
  <si>
    <t>6523 - Emma Jewel Charter Academy</t>
  </si>
  <si>
    <t>6529 - Pineapple Cove, Lockmar</t>
  </si>
  <si>
    <t>6540 - Viera Charter School</t>
  </si>
  <si>
    <t>6541 - Odyssey Prep Charter Academy</t>
  </si>
  <si>
    <t>6543 - Pineapple Cove, Palm Bay</t>
  </si>
  <si>
    <t>6554 - Pineapple Cove, West Melbourne</t>
  </si>
  <si>
    <t>6558 - Pinecrest Academy Space Coast</t>
  </si>
  <si>
    <t>PK-2</t>
  </si>
  <si>
    <t>PK</t>
  </si>
  <si>
    <t>2029-30</t>
  </si>
  <si>
    <t>8300 STADIUM PARKWAY</t>
  </si>
  <si>
    <t>VIERA MIDDLE SCHOOL</t>
  </si>
  <si>
    <t>6093 Stadium Pkwy</t>
  </si>
  <si>
    <t>DeGroot Rd (between Bayside and Westside)</t>
  </si>
  <si>
    <t>ENTERPRISE ROAD</t>
  </si>
  <si>
    <t>Total Parcels: 114</t>
  </si>
  <si>
    <t>Total Schools: 102</t>
  </si>
  <si>
    <t>Checked against Growth Management K12 with charters, birth rates, and mobility factors and GM Full Development for high impact areas</t>
  </si>
  <si>
    <t>Actuals (Calendar Year)</t>
  </si>
  <si>
    <t>Projected</t>
  </si>
  <si>
    <t>Calendar Year</t>
  </si>
  <si>
    <t>Student Membership</t>
  </si>
  <si>
    <t>Notes</t>
  </si>
  <si>
    <t>increased per Christoper Reed +26 11.21.24</t>
  </si>
  <si>
    <t>increased per Christopher Reed +16 11.21.24</t>
  </si>
  <si>
    <t>base projection 461, a little higher with development</t>
  </si>
  <si>
    <t>projection is good.</t>
  </si>
  <si>
    <t>Openning new building after Winter Break</t>
  </si>
  <si>
    <t>high growth area projection is good</t>
  </si>
  <si>
    <t>increase per Jennifer Clarke +20 11.21.24</t>
  </si>
  <si>
    <t>increase per Jennifer Clarke +35 11.21.24</t>
  </si>
  <si>
    <t>Projection is good considering development</t>
  </si>
  <si>
    <t>Projection running higher? +46  development in AB</t>
  </si>
  <si>
    <t>2024 enrollment = 1058</t>
  </si>
  <si>
    <t>3171 - Viera Middle School</t>
  </si>
  <si>
    <t>2024 enrollment = 1277</t>
  </si>
  <si>
    <t>Projection is good</t>
  </si>
  <si>
    <t>Center closed</t>
  </si>
  <si>
    <t>Number fluctuates daily</t>
  </si>
  <si>
    <t>Adjusted 11.15.24</t>
  </si>
  <si>
    <r>
      <t xml:space="preserve">projection is running lower? projection is good when considering development, school could increase 40 over last year at maximum
</t>
    </r>
    <r>
      <rPr>
        <sz val="11"/>
        <color theme="4"/>
        <rFont val="Calibri"/>
        <family val="2"/>
        <scheme val="minor"/>
      </rPr>
      <t xml:space="preserve">Adjusted to +30 over last year 11.14.24 </t>
    </r>
  </si>
  <si>
    <r>
      <t xml:space="preserve">Projection may  increase +13
</t>
    </r>
    <r>
      <rPr>
        <sz val="11"/>
        <color theme="4"/>
        <rFont val="Calibri"/>
        <family val="2"/>
        <scheme val="minor"/>
      </rPr>
      <t>Adjusted 11.14.24</t>
    </r>
  </si>
  <si>
    <r>
      <t xml:space="preserve">projection is running lower? -29
</t>
    </r>
    <r>
      <rPr>
        <sz val="11"/>
        <color theme="4"/>
        <rFont val="Calibri"/>
        <family val="2"/>
        <scheme val="minor"/>
      </rPr>
      <t>Adjusted -29 11.13.24</t>
    </r>
  </si>
  <si>
    <r>
      <t xml:space="preserve">2024 enrollmnet = 653. projection may decrease -11
</t>
    </r>
    <r>
      <rPr>
        <sz val="11"/>
        <color theme="4"/>
        <rFont val="Calibri"/>
        <family val="2"/>
        <scheme val="minor"/>
      </rPr>
      <t>Adjusted -11 11.13.24</t>
    </r>
  </si>
  <si>
    <r>
      <t xml:space="preserve">2024 enrollment = 597, projection may decrease -10
</t>
    </r>
    <r>
      <rPr>
        <sz val="11"/>
        <color theme="4"/>
        <rFont val="Calibri"/>
        <family val="2"/>
        <scheme val="minor"/>
      </rPr>
      <t>Adjusted -10 11.13.24</t>
    </r>
  </si>
  <si>
    <r>
      <t xml:space="preserve">2024 enrollment = 744, projection may decrease -26
</t>
    </r>
    <r>
      <rPr>
        <sz val="11"/>
        <color theme="4"/>
        <rFont val="Calibri"/>
        <family val="2"/>
        <scheme val="minor"/>
      </rPr>
      <t>Adjusted -26 11.13.24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edited projections per Christopher Reed 11.21.24</t>
    </r>
  </si>
  <si>
    <r>
      <t xml:space="preserve">projections increase with some development +10
</t>
    </r>
    <r>
      <rPr>
        <sz val="11"/>
        <color theme="4"/>
        <rFont val="Calibri"/>
        <family val="2"/>
        <scheme val="minor"/>
      </rPr>
      <t>Adjusted +10 11.13.24</t>
    </r>
  </si>
  <si>
    <r>
      <t xml:space="preserve"> Adjusted +30 11.13.24 </t>
    </r>
    <r>
      <rPr>
        <sz val="11"/>
        <rFont val="Calibri"/>
        <family val="2"/>
        <scheme val="minor"/>
      </rPr>
      <t>increased +17 per Christopher Reed 11.21.24</t>
    </r>
  </si>
  <si>
    <r>
      <t xml:space="preserve">2024 enrollment = 481, projections running higher +22
</t>
    </r>
    <r>
      <rPr>
        <sz val="11"/>
        <color theme="4"/>
        <rFont val="Calibri"/>
        <family val="2"/>
        <scheme val="minor"/>
      </rPr>
      <t>Adjusted +22 11.13.24</t>
    </r>
  </si>
  <si>
    <r>
      <rPr>
        <sz val="11"/>
        <color rgb="FF000000"/>
        <rFont val="Aptos Narrow"/>
        <family val="2"/>
      </rPr>
      <t xml:space="preserve">projection is good. - </t>
    </r>
    <r>
      <rPr>
        <sz val="11"/>
        <color rgb="FF00B050"/>
        <rFont val="Aptos Narrow"/>
        <family val="2"/>
      </rPr>
      <t>Please adjust to 900 - New apartments opened</t>
    </r>
    <r>
      <rPr>
        <sz val="11"/>
        <color theme="1"/>
        <rFont val="Aptos Narrow"/>
        <family val="2"/>
      </rPr>
      <t xml:space="preserve"> </t>
    </r>
    <r>
      <rPr>
        <b/>
        <sz val="11"/>
        <color theme="4"/>
        <rFont val="Aptos Narrow"/>
        <family val="2"/>
      </rPr>
      <t>Adjusted to 900 per Karen Ivery 12.2.24</t>
    </r>
  </si>
  <si>
    <r>
      <t xml:space="preserve">projections running higher? +30
</t>
    </r>
    <r>
      <rPr>
        <sz val="11"/>
        <color theme="4"/>
        <rFont val="Calibri"/>
        <family val="2"/>
        <scheme val="minor"/>
      </rPr>
      <t>Adjusted 11.13.24</t>
    </r>
  </si>
  <si>
    <r>
      <t xml:space="preserve">projections running higher? +60
</t>
    </r>
    <r>
      <rPr>
        <sz val="11"/>
        <color theme="4"/>
        <rFont val="Calibri"/>
        <family val="2"/>
        <scheme val="minor"/>
      </rPr>
      <t>Adjusted 11.13.24</t>
    </r>
  </si>
  <si>
    <r>
      <rPr>
        <sz val="11"/>
        <color rgb="FF000000"/>
        <rFont val="Aptos Narrow"/>
        <family val="2"/>
      </rPr>
      <t xml:space="preserve">projections running higher? +60 RELOOKING at Steep Increase
</t>
    </r>
    <r>
      <rPr>
        <sz val="11"/>
        <color rgb="FF145F82"/>
        <rFont val="Aptos Narrow"/>
        <family val="2"/>
      </rPr>
      <t>Adjusted 11.13.24</t>
    </r>
  </si>
  <si>
    <r>
      <t xml:space="preserve">2024 enrolllment = 573, projections running higher? +60, 
</t>
    </r>
    <r>
      <rPr>
        <sz val="11"/>
        <color theme="4"/>
        <rFont val="Calibri"/>
        <family val="2"/>
        <scheme val="minor"/>
      </rPr>
      <t>Adjusted +45 11,13.24</t>
    </r>
  </si>
  <si>
    <r>
      <t xml:space="preserve">trending lower  -10
</t>
    </r>
    <r>
      <rPr>
        <sz val="11"/>
        <color theme="4"/>
        <rFont val="Calibri"/>
        <family val="2"/>
        <scheme val="minor"/>
      </rPr>
      <t>Adjusted 11.13.24</t>
    </r>
  </si>
  <si>
    <r>
      <t xml:space="preserve">projections running higher? +40
</t>
    </r>
    <r>
      <rPr>
        <sz val="11"/>
        <color theme="4"/>
        <rFont val="Calibri"/>
        <family val="2"/>
        <scheme val="minor"/>
      </rPr>
      <t>Adjusted +35 11.13.14</t>
    </r>
  </si>
  <si>
    <r>
      <rPr>
        <sz val="11"/>
        <color rgb="FF000000"/>
        <rFont val="Aptos Narrow"/>
        <family val="2"/>
      </rPr>
      <t xml:space="preserve">Projections running higher? +40 Development may be driving this too steep
</t>
    </r>
    <r>
      <rPr>
        <sz val="11"/>
        <color rgb="FF145F82"/>
        <rFont val="Aptos Narrow"/>
        <family val="2"/>
      </rPr>
      <t>Adjusted +35 11.13.14</t>
    </r>
  </si>
  <si>
    <r>
      <t xml:space="preserve">2024 enrollment = 984, *high growth area projections +30 at least, Please review  looks low
</t>
    </r>
    <r>
      <rPr>
        <sz val="11"/>
        <color theme="4"/>
        <rFont val="Calibri"/>
        <family val="2"/>
        <scheme val="minor"/>
      </rPr>
      <t>Adjusted +31 11.14.24</t>
    </r>
  </si>
  <si>
    <r>
      <t xml:space="preserve">projection running lower at 511
</t>
    </r>
    <r>
      <rPr>
        <sz val="11"/>
        <color theme="4"/>
        <rFont val="Calibri"/>
        <family val="2"/>
        <scheme val="minor"/>
      </rPr>
      <t>Adjusted 11.13.24</t>
    </r>
  </si>
  <si>
    <r>
      <t xml:space="preserve">projection running higher? +20
</t>
    </r>
    <r>
      <rPr>
        <sz val="11"/>
        <color theme="4"/>
        <rFont val="Calibri"/>
        <family val="2"/>
        <scheme val="minor"/>
      </rPr>
      <t>Adjusted 11.13.24</t>
    </r>
  </si>
  <si>
    <r>
      <t xml:space="preserve">projection running higher? =40
</t>
    </r>
    <r>
      <rPr>
        <sz val="11"/>
        <color theme="4"/>
        <rFont val="Calibri"/>
        <family val="2"/>
        <scheme val="minor"/>
      </rPr>
      <t>Adjusted 11.14.24</t>
    </r>
  </si>
  <si>
    <r>
      <t xml:space="preserve">Projection is running higher? +12
</t>
    </r>
    <r>
      <rPr>
        <sz val="11"/>
        <color theme="4"/>
        <rFont val="Calibri"/>
        <family val="2"/>
        <scheme val="minor"/>
      </rPr>
      <t>Adjusted 11.13.24</t>
    </r>
  </si>
  <si>
    <r>
      <rPr>
        <sz val="11"/>
        <color rgb="FF000000"/>
        <rFont val="Aptos Narrow"/>
        <family val="2"/>
      </rPr>
      <t xml:space="preserve">2024 enrollment = 690, projections show drop to 659? projection looks low?  </t>
    </r>
    <r>
      <rPr>
        <b/>
        <sz val="11"/>
        <color rgb="FF00B050"/>
        <rFont val="Aptos Narrow"/>
        <family val="2"/>
      </rPr>
      <t xml:space="preserve">Please adjust to 700 we have new housing and new aparments and I am still growing now.
</t>
    </r>
    <r>
      <rPr>
        <sz val="11"/>
        <color rgb="FF145F82"/>
        <rFont val="Aptos Narrow"/>
        <family val="2"/>
      </rPr>
      <t>Adjusted to 650 11.14.24</t>
    </r>
    <r>
      <rPr>
        <sz val="11"/>
        <color theme="1"/>
        <rFont val="Aptos Narrow"/>
        <family val="2"/>
      </rPr>
      <t xml:space="preserve"> </t>
    </r>
    <r>
      <rPr>
        <b/>
        <sz val="11"/>
        <color theme="4"/>
        <rFont val="Aptos Narrow"/>
        <family val="2"/>
      </rPr>
      <t>Adjusted to 675 per Karen Ivery 12.2.24</t>
    </r>
  </si>
  <si>
    <r>
      <rPr>
        <sz val="11"/>
        <color rgb="FF000000"/>
        <rFont val="Aptos Narrow"/>
        <family val="2"/>
      </rPr>
      <t xml:space="preserve">Projections running 921 (1147 with full dev which is unlikely by next year)  Projection is high, please review - </t>
    </r>
    <r>
      <rPr>
        <b/>
        <sz val="11"/>
        <color rgb="FF00B050"/>
        <rFont val="Aptos Narrow"/>
        <family val="2"/>
      </rPr>
      <t xml:space="preserve">Please adjust to 960 new housing
</t>
    </r>
    <r>
      <rPr>
        <sz val="11"/>
        <color rgb="FF145F82"/>
        <rFont val="Aptos Narrow"/>
        <family val="2"/>
      </rPr>
      <t xml:space="preserve">Adjusted to 925 11.14.24 </t>
    </r>
    <r>
      <rPr>
        <b/>
        <sz val="11"/>
        <color rgb="FF145F82"/>
        <rFont val="Aptos Narrow"/>
        <family val="2"/>
      </rPr>
      <t>Adjusted to 960 per Karen Ivery 12.2.24</t>
    </r>
  </si>
  <si>
    <r>
      <t xml:space="preserve">projection running lower? 
</t>
    </r>
    <r>
      <rPr>
        <sz val="11"/>
        <color theme="4"/>
        <rFont val="Calibri"/>
        <family val="2"/>
        <scheme val="minor"/>
      </rPr>
      <t>Adjusted -8 11.14.24</t>
    </r>
    <r>
      <rPr>
        <sz val="11"/>
        <color theme="1"/>
        <rFont val="Calibri"/>
        <family val="2"/>
        <scheme val="minor"/>
      </rPr>
      <t xml:space="preserve"> increased +20 per Christopher Reed 11.21.24</t>
    </r>
  </si>
  <si>
    <r>
      <t xml:space="preserve">Choice School, typically holds its enrollment about even, </t>
    </r>
    <r>
      <rPr>
        <b/>
        <sz val="11"/>
        <color theme="4"/>
        <rFont val="Calibri"/>
        <family val="2"/>
        <scheme val="minor"/>
      </rPr>
      <t>-12 per Jennifer Clarke 12.5.24</t>
    </r>
  </si>
  <si>
    <r>
      <t xml:space="preserve">Choice School, typically holds its enrollment about even 408
</t>
    </r>
    <r>
      <rPr>
        <sz val="11"/>
        <color theme="4"/>
        <rFont val="Calibri"/>
        <family val="2"/>
        <scheme val="minor"/>
      </rPr>
      <t>Adjusted to 408 11.14.24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4"/>
        <rFont val="Calibri"/>
        <family val="2"/>
        <scheme val="minor"/>
      </rPr>
      <t>Adjusted to 414 per Jennifer Clarke 12.5.24</t>
    </r>
  </si>
  <si>
    <r>
      <t xml:space="preserve">Projection lower at  308
</t>
    </r>
    <r>
      <rPr>
        <sz val="11"/>
        <color theme="4"/>
        <rFont val="Calibri"/>
        <family val="2"/>
        <scheme val="minor"/>
      </rPr>
      <t>Adjusted 11.14.24</t>
    </r>
  </si>
  <si>
    <r>
      <t xml:space="preserve">Potentially -10
</t>
    </r>
    <r>
      <rPr>
        <sz val="11"/>
        <color theme="4"/>
        <rFont val="Calibri"/>
        <family val="2"/>
        <scheme val="minor"/>
      </rPr>
      <t>Adjusted 11.13.24</t>
    </r>
  </si>
  <si>
    <r>
      <t xml:space="preserve">Projection is running higher? +21
</t>
    </r>
    <r>
      <rPr>
        <sz val="11"/>
        <color theme="4"/>
        <rFont val="Calibri"/>
        <family val="2"/>
        <scheme val="minor"/>
      </rPr>
      <t>Adjusted +25 11.14.24</t>
    </r>
    <r>
      <rPr>
        <sz val="11"/>
        <color theme="1"/>
        <rFont val="Calibri"/>
        <family val="2"/>
        <scheme val="minor"/>
      </rPr>
      <t xml:space="preserve"> Increased by additional +22 per Chistopher Reed 11.21.24</t>
    </r>
  </si>
  <si>
    <r>
      <t xml:space="preserve">Projections running lower? -70
</t>
    </r>
    <r>
      <rPr>
        <sz val="11"/>
        <color theme="4"/>
        <rFont val="Calibri"/>
        <family val="2"/>
        <scheme val="minor"/>
      </rPr>
      <t>Adjusted 11.14.24</t>
    </r>
  </si>
  <si>
    <r>
      <t xml:space="preserve">too high with adjusted AB for new middle school, projections running 355!
</t>
    </r>
    <r>
      <rPr>
        <sz val="11"/>
        <color theme="4"/>
        <rFont val="Calibri"/>
        <family val="2"/>
        <scheme val="minor"/>
      </rPr>
      <t>Error in Feeder Population - Corrected 11.14.24 RG</t>
    </r>
  </si>
  <si>
    <r>
      <t xml:space="preserve">2024 enrollment = 556, projection lower 523
</t>
    </r>
    <r>
      <rPr>
        <sz val="11"/>
        <color theme="4"/>
        <rFont val="Calibri"/>
        <family val="2"/>
        <scheme val="minor"/>
      </rPr>
      <t>Adjusted 11.14.23</t>
    </r>
  </si>
  <si>
    <r>
      <t xml:space="preserve">2024 enrollment = 1001, high growth area projections +40
</t>
    </r>
    <r>
      <rPr>
        <sz val="11"/>
        <color theme="4"/>
        <rFont val="Calibri"/>
        <family val="2"/>
        <scheme val="minor"/>
      </rPr>
      <t>Adjusted +35 11.13.24</t>
    </r>
  </si>
  <si>
    <r>
      <t xml:space="preserve">projections running lower? -60
</t>
    </r>
    <r>
      <rPr>
        <sz val="11"/>
        <color theme="4"/>
        <rFont val="Calibri"/>
        <family val="2"/>
        <scheme val="minor"/>
      </rPr>
      <t>Adjusted 11.14.24</t>
    </r>
  </si>
  <si>
    <r>
      <t xml:space="preserve">2024 enrollment = 742, projections running higher? +50
</t>
    </r>
    <r>
      <rPr>
        <sz val="11"/>
        <color theme="4"/>
        <rFont val="Calibri"/>
        <family val="2"/>
        <scheme val="minor"/>
      </rPr>
      <t>Adjusted +40 11.13.24</t>
    </r>
  </si>
  <si>
    <r>
      <t xml:space="preserve">projection running lower? -20
</t>
    </r>
    <r>
      <rPr>
        <sz val="11"/>
        <color theme="4"/>
        <rFont val="Calibri"/>
        <family val="2"/>
        <scheme val="minor"/>
      </rPr>
      <t>Adjusted 11.13.24</t>
    </r>
  </si>
  <si>
    <r>
      <t xml:space="preserve">2024 enrollment = 548, projection too high, 436 due to limited Attendance boundary, 440 maximum
</t>
    </r>
    <r>
      <rPr>
        <sz val="11"/>
        <color theme="4"/>
        <rFont val="Calibri"/>
        <family val="2"/>
        <scheme val="minor"/>
      </rPr>
      <t>Error in Feeder corrected 11.14.24</t>
    </r>
  </si>
  <si>
    <r>
      <t xml:space="preserve">maybe 1460 with development (-14)
</t>
    </r>
    <r>
      <rPr>
        <sz val="11"/>
        <color theme="4"/>
        <rFont val="Calibri"/>
        <family val="2"/>
        <scheme val="minor"/>
      </rPr>
      <t>Adjusted 11.13.24
12.16.2024 RG - Upped per Principal and Director (1460 -&gt; 1500)</t>
    </r>
  </si>
  <si>
    <r>
      <t xml:space="preserve">Choice School, typically holds its enrollment about even
</t>
    </r>
    <r>
      <rPr>
        <sz val="11"/>
        <color theme="4"/>
        <rFont val="Calibri"/>
        <family val="2"/>
        <scheme val="minor"/>
      </rPr>
      <t>Adjusted 11.14.24</t>
    </r>
  </si>
  <si>
    <r>
      <t xml:space="preserve">2024 enrollment = 940 Choice School, typically holds its enrollment about even
</t>
    </r>
    <r>
      <rPr>
        <sz val="11"/>
        <color theme="4"/>
        <rFont val="Calibri"/>
        <family val="2"/>
        <scheme val="minor"/>
      </rPr>
      <t>Adjusted 11.14.24</t>
    </r>
  </si>
  <si>
    <r>
      <t xml:space="preserve">maybe 982 (-20)
</t>
    </r>
    <r>
      <rPr>
        <sz val="11"/>
        <color theme="4"/>
        <rFont val="Calibri"/>
        <family val="2"/>
        <scheme val="minor"/>
      </rPr>
      <t>Adjusted 11.14.24</t>
    </r>
  </si>
  <si>
    <r>
      <t xml:space="preserve">2024 enrollment = 1054, projection running +20
</t>
    </r>
    <r>
      <rPr>
        <sz val="11"/>
        <color theme="4"/>
        <rFont val="Calibri"/>
        <family val="2"/>
        <scheme val="minor"/>
      </rPr>
      <t>Adjusted 11.13.24</t>
    </r>
  </si>
  <si>
    <r>
      <t xml:space="preserve">2024 enrollment = 1577, projection running higher? +109 
</t>
    </r>
    <r>
      <rPr>
        <sz val="11"/>
        <color theme="4"/>
        <rFont val="Calibri"/>
        <family val="2"/>
        <scheme val="minor"/>
      </rPr>
      <t>Adjusted +100 11.14.24</t>
    </r>
  </si>
  <si>
    <r>
      <t xml:space="preserve">2024 enrollment = 2333, </t>
    </r>
    <r>
      <rPr>
        <u/>
        <sz val="11"/>
        <color rgb="FF000000"/>
        <rFont val="Aptos Narrow"/>
        <family val="2"/>
      </rPr>
      <t>not expected to decline</t>
    </r>
    <r>
      <rPr>
        <sz val="11"/>
        <color rgb="FF000000"/>
        <rFont val="Aptos Narrow"/>
        <family val="2"/>
      </rPr>
      <t xml:space="preserve">, maybe 2339 and increasing in following years
</t>
    </r>
    <r>
      <rPr>
        <sz val="11"/>
        <color theme="4"/>
        <rFont val="Aptos Narrow"/>
        <family val="2"/>
      </rPr>
      <t>Adjusted +201 11.14.24</t>
    </r>
  </si>
  <si>
    <r>
      <rPr>
        <sz val="11"/>
        <color rgb="FF000000"/>
        <rFont val="Aptos Narrow"/>
        <family val="2"/>
      </rPr>
      <t xml:space="preserve">maybe 2195 with development- Over adjusted 
</t>
    </r>
    <r>
      <rPr>
        <sz val="11"/>
        <color rgb="FF145F82"/>
        <rFont val="Aptos Narrow"/>
        <family val="2"/>
      </rPr>
      <t>Adjusted 11.14.24</t>
    </r>
  </si>
  <si>
    <r>
      <t xml:space="preserve">2024 enrollment = 2126,  Projection too low *high development area no other high school in area, </t>
    </r>
    <r>
      <rPr>
        <u/>
        <sz val="11"/>
        <color rgb="FF000000"/>
        <rFont val="Aptos Narrow"/>
        <family val="2"/>
      </rPr>
      <t>not expected to drop, increasing to 2173 at miniumum. Could increase 80-100 stu per year based on housing growth- no other HS options in the area</t>
    </r>
    <r>
      <rPr>
        <sz val="11"/>
        <color rgb="FF000000"/>
        <rFont val="Aptos Narrow"/>
        <family val="2"/>
      </rPr>
      <t xml:space="preserve">
</t>
    </r>
    <r>
      <rPr>
        <sz val="11"/>
        <color theme="4"/>
        <rFont val="Aptos Narrow"/>
        <family val="2"/>
      </rPr>
      <t>Adjusted 11.14.24</t>
    </r>
  </si>
  <si>
    <r>
      <t xml:space="preserve">2024 enrollment = 1400, projection running higher maybe 1415
</t>
    </r>
    <r>
      <rPr>
        <sz val="11"/>
        <color theme="4"/>
        <rFont val="Calibri"/>
        <family val="2"/>
        <scheme val="minor"/>
      </rPr>
      <t>Adjusted 11.14.24</t>
    </r>
  </si>
  <si>
    <r>
      <t xml:space="preserve">2024 enrollment =1445, projection running higher maybe 1328
</t>
    </r>
    <r>
      <rPr>
        <sz val="11"/>
        <color theme="4"/>
        <rFont val="Calibri"/>
        <family val="2"/>
        <scheme val="minor"/>
      </rPr>
      <t>Adjusted 11.14.24</t>
    </r>
  </si>
  <si>
    <r>
      <rPr>
        <sz val="11"/>
        <color rgb="FF000000"/>
        <rFont val="Aptos Narrow"/>
        <family val="2"/>
      </rPr>
      <t xml:space="preserve">2024 enrollment = 1436, projection running higher maybe 1416 I would increase  agree with midway
</t>
    </r>
    <r>
      <rPr>
        <sz val="11"/>
        <color rgb="FF145F82"/>
        <rFont val="Aptos Narrow"/>
        <family val="2"/>
      </rPr>
      <t>Adjusted midway 11.14.24</t>
    </r>
  </si>
  <si>
    <t>School Years 2025-26 to 2030-31</t>
  </si>
  <si>
    <t xml:space="preserve">2025-26 Actual </t>
  </si>
  <si>
    <t>2025-26 Factored Capacity</t>
  </si>
  <si>
    <t>2025-26 Student Stations</t>
  </si>
  <si>
    <t>2030-31</t>
  </si>
  <si>
    <t>Total Student Stations for 2025-26 is the addition of "Permanent Student Stations"  and "Relocatable Student Stations" contained in the FDOE Florida</t>
  </si>
  <si>
    <t>Projected Student Membership figures based on Finance 2026-27 Final Budget Projections combined with Growth Management Projections for 2027-28 to 2030-31.</t>
  </si>
  <si>
    <t>Projected Capacity in Use is calculated by dividing the Projected Student Membership by the 2025-26 Total Factored Capacity (See Note 2 exception).</t>
  </si>
  <si>
    <t>Last year to this year loss</t>
  </si>
  <si>
    <t>SY2024-25</t>
  </si>
  <si>
    <t>loss too steep</t>
  </si>
  <si>
    <t>potential this year to next year loss</t>
  </si>
  <si>
    <t>target</t>
  </si>
  <si>
    <t>Projected Difference</t>
  </si>
  <si>
    <t>SY2025-26</t>
  </si>
  <si>
    <t>Budgeting</t>
  </si>
  <si>
    <r>
      <t xml:space="preserve">1408-based on mobility trends; </t>
    </r>
    <r>
      <rPr>
        <sz val="11"/>
        <color rgb="FFFF0000"/>
        <rFont val="Calibri"/>
        <family val="2"/>
        <scheme val="minor"/>
      </rPr>
      <t>agree 1408 LM</t>
    </r>
  </si>
  <si>
    <t>projection is good</t>
  </si>
  <si>
    <r>
      <t xml:space="preserve">1849 based on mobility trends, high development, but also high charter %, 1308 projection looks too low; developement increases by 84 students - </t>
    </r>
    <r>
      <rPr>
        <sz val="11"/>
        <color rgb="FFFF0000"/>
        <rFont val="Calibri"/>
        <family val="2"/>
        <scheme val="minor"/>
      </rPr>
      <t>suggest holding 1849; agree LM</t>
    </r>
  </si>
  <si>
    <t>2288 based on development -not expected to decrease.</t>
  </si>
  <si>
    <r>
      <t xml:space="preserve">1291 based on mobility trends ; </t>
    </r>
    <r>
      <rPr>
        <sz val="11"/>
        <color rgb="FFFF0000"/>
        <rFont val="Calibri"/>
        <family val="2"/>
        <scheme val="minor"/>
      </rPr>
      <t>agree LM</t>
    </r>
  </si>
  <si>
    <r>
      <t xml:space="preserve">2255 based on mobility trends, development increases but choice effects school, suggest </t>
    </r>
    <r>
      <rPr>
        <sz val="11"/>
        <color rgb="FFFF0000"/>
        <rFont val="Calibri"/>
        <family val="2"/>
        <scheme val="minor"/>
      </rPr>
      <t>holding 2255 LM</t>
    </r>
  </si>
  <si>
    <r>
      <t xml:space="preserve">1529 based on mobility trends; </t>
    </r>
    <r>
      <rPr>
        <sz val="11"/>
        <color rgb="FFFF0000"/>
        <rFont val="Calibri"/>
        <family val="2"/>
        <scheme val="minor"/>
      </rPr>
      <t>agree LM</t>
    </r>
  </si>
  <si>
    <r>
      <t>1006 based on mobility trends, projection looks too low;</t>
    </r>
    <r>
      <rPr>
        <sz val="11"/>
        <color rgb="FFFF0000"/>
        <rFont val="Calibri"/>
        <family val="2"/>
        <scheme val="minor"/>
      </rPr>
      <t xml:space="preserve"> agree LM</t>
    </r>
  </si>
  <si>
    <r>
      <t xml:space="preserve">1285 based on mobility and full development data; school maintains around 1300: </t>
    </r>
    <r>
      <rPr>
        <sz val="11"/>
        <color rgb="FFFF0000"/>
        <rFont val="Calibri"/>
        <family val="2"/>
        <scheme val="minor"/>
      </rPr>
      <t>agree 1300 LM</t>
    </r>
  </si>
  <si>
    <t>984 based on mobility, birth and development trends; decline in number of students in area- hold 984</t>
  </si>
  <si>
    <r>
      <t xml:space="preserve">944, typically choice schools hold enrollment; </t>
    </r>
    <r>
      <rPr>
        <sz val="11"/>
        <color rgb="FFFF0000"/>
        <rFont val="Calibri"/>
        <family val="2"/>
        <scheme val="minor"/>
      </rPr>
      <t>agree LM</t>
    </r>
  </si>
  <si>
    <r>
      <t xml:space="preserve">942, typically choice schools hold enrollment; </t>
    </r>
    <r>
      <rPr>
        <sz val="11"/>
        <color rgb="FFFF0000"/>
        <rFont val="Calibri"/>
        <family val="2"/>
        <scheme val="minor"/>
      </rPr>
      <t>agree LM</t>
    </r>
  </si>
  <si>
    <r>
      <t xml:space="preserve">1235 based on mobility, birth and development trends; </t>
    </r>
    <r>
      <rPr>
        <sz val="11"/>
        <color rgb="FFFF0000"/>
        <rFont val="Calibri"/>
        <family val="2"/>
        <scheme val="minor"/>
      </rPr>
      <t>agree LM</t>
    </r>
  </si>
  <si>
    <r>
      <t xml:space="preserve">1424 based on mobility, birth and development trends; </t>
    </r>
    <r>
      <rPr>
        <sz val="11"/>
        <color rgb="FFFF0000"/>
        <rFont val="Calibri"/>
        <family val="2"/>
        <scheme val="minor"/>
      </rPr>
      <t>agree LM</t>
    </r>
  </si>
  <si>
    <r>
      <t xml:space="preserve">445 based on mobility, birth and development trends, projected 216 drop looks too steep; </t>
    </r>
    <r>
      <rPr>
        <sz val="11"/>
        <color rgb="FFFF0000"/>
        <rFont val="Calibri"/>
        <family val="2"/>
        <scheme val="minor"/>
      </rPr>
      <t>agree 445 LM</t>
    </r>
  </si>
  <si>
    <r>
      <t xml:space="preserve">466 based on mobility and birth trends; </t>
    </r>
    <r>
      <rPr>
        <sz val="11"/>
        <color rgb="FFFF0000"/>
        <rFont val="Calibri"/>
        <family val="2"/>
        <scheme val="minor"/>
      </rPr>
      <t>agree LM</t>
    </r>
  </si>
  <si>
    <r>
      <t xml:space="preserve">387 based on mobility and birth trends; </t>
    </r>
    <r>
      <rPr>
        <sz val="11"/>
        <color rgb="FFFF0000"/>
        <rFont val="Calibri"/>
        <family val="2"/>
        <scheme val="minor"/>
      </rPr>
      <t>agree LM</t>
    </r>
  </si>
  <si>
    <r>
      <t>878 based on development in the area, not expected to decrease;</t>
    </r>
    <r>
      <rPr>
        <sz val="11"/>
        <color rgb="FFFF0000"/>
        <rFont val="Calibri"/>
        <family val="2"/>
        <scheme val="minor"/>
      </rPr>
      <t xml:space="preserve"> agree LM</t>
    </r>
  </si>
  <si>
    <t>1064 based on full development and mobility trends; hold 1012</t>
  </si>
  <si>
    <t xml:space="preserve">953 with mobility and birth; development increases projection to 1029 the following year. hold-987, charter schools are increasing enrollment in this area </t>
  </si>
  <si>
    <r>
      <t xml:space="preserve">373 based on mobility, birth and development trends; </t>
    </r>
    <r>
      <rPr>
        <sz val="11"/>
        <color rgb="FFFF0000"/>
        <rFont val="Calibri"/>
        <family val="2"/>
        <scheme val="minor"/>
      </rPr>
      <t>agree LM</t>
    </r>
  </si>
  <si>
    <r>
      <t>240 based on mobility, birth and development trends;</t>
    </r>
    <r>
      <rPr>
        <sz val="11"/>
        <color rgb="FFFF0000"/>
        <rFont val="Calibri"/>
        <family val="2"/>
        <scheme val="minor"/>
      </rPr>
      <t xml:space="preserve"> agree LM</t>
    </r>
  </si>
  <si>
    <r>
      <t xml:space="preserve">443 based on mobility, birth and development trends; </t>
    </r>
    <r>
      <rPr>
        <sz val="11"/>
        <color rgb="FFFF0000"/>
        <rFont val="Calibri"/>
        <family val="2"/>
        <scheme val="minor"/>
      </rPr>
      <t>agree LM</t>
    </r>
  </si>
  <si>
    <t>393 based on mobility, birth and development trends; declining with some pending development -hold 410?</t>
  </si>
  <si>
    <r>
      <t xml:space="preserve">609 based on mobility and birth trends, no development in area; </t>
    </r>
    <r>
      <rPr>
        <sz val="11"/>
        <color rgb="FFFF0000"/>
        <rFont val="Calibri"/>
        <family val="2"/>
        <scheme val="minor"/>
      </rPr>
      <t>agree LM</t>
    </r>
  </si>
  <si>
    <t>projection is good; agree LM</t>
  </si>
  <si>
    <r>
      <t xml:space="preserve">394 based on mobility,birth and development data- </t>
    </r>
    <r>
      <rPr>
        <sz val="11"/>
        <color rgb="FFFF0000"/>
        <rFont val="Calibri"/>
        <family val="2"/>
        <scheme val="minor"/>
      </rPr>
      <t>holding 406; agree LM</t>
    </r>
  </si>
  <si>
    <r>
      <t xml:space="preserve">307 based on mobility, birth and development data; </t>
    </r>
    <r>
      <rPr>
        <sz val="11"/>
        <color rgb="FFFF0000"/>
        <rFont val="Calibri"/>
        <family val="2"/>
        <scheme val="minor"/>
      </rPr>
      <t>agree LM</t>
    </r>
  </si>
  <si>
    <t>projected to go down to 415, but current Nov enrollment at 433-suggest  holding 430</t>
  </si>
  <si>
    <t>255 based on mobility, birth and development data- current Nov membership 269 hold 262</t>
  </si>
  <si>
    <r>
      <t xml:space="preserve">410, typically choice schools hold enrollment; </t>
    </r>
    <r>
      <rPr>
        <sz val="11"/>
        <color rgb="FFFF0000"/>
        <rFont val="Calibri"/>
        <family val="2"/>
        <scheme val="minor"/>
      </rPr>
      <t>agree LM</t>
    </r>
  </si>
  <si>
    <t>251 based on mobility, birth and development data- declining enrollment - hold 251</t>
  </si>
  <si>
    <r>
      <t>581, some developments affecting Carroll;</t>
    </r>
    <r>
      <rPr>
        <sz val="11"/>
        <color rgb="FFFF0000"/>
        <rFont val="Calibri"/>
        <family val="2"/>
        <scheme val="minor"/>
      </rPr>
      <t xml:space="preserve"> agree LM</t>
    </r>
  </si>
  <si>
    <r>
      <t xml:space="preserve">480 typically choice schools hold enrollment; </t>
    </r>
    <r>
      <rPr>
        <sz val="11"/>
        <color rgb="FFFF0000"/>
        <rFont val="Calibri"/>
        <family val="2"/>
        <scheme val="minor"/>
      </rPr>
      <t>agree LM</t>
    </r>
  </si>
  <si>
    <r>
      <t xml:space="preserve">402 based on mobility and birth trends; </t>
    </r>
    <r>
      <rPr>
        <sz val="11"/>
        <color rgb="FFFF0000"/>
        <rFont val="Calibri"/>
        <family val="2"/>
        <scheme val="minor"/>
      </rPr>
      <t>agree LM</t>
    </r>
  </si>
  <si>
    <r>
      <t>1015 based on development in the area; 960 projected last year, enrollment under, but with development increased projected //</t>
    </r>
    <r>
      <rPr>
        <sz val="11"/>
        <color rgb="FF3C7D22"/>
        <rFont val="Calibri"/>
        <family val="2"/>
        <scheme val="minor"/>
      </rPr>
      <t xml:space="preserve"> 994 in mtg</t>
    </r>
  </si>
  <si>
    <r>
      <t xml:space="preserve">650 based on development, mobility and birth trends; 760 projection is too high; </t>
    </r>
    <r>
      <rPr>
        <sz val="11"/>
        <color rgb="FFFF0000"/>
        <rFont val="Calibri"/>
        <family val="2"/>
        <scheme val="minor"/>
      </rPr>
      <t>agree hold 650 LM</t>
    </r>
  </si>
  <si>
    <r>
      <t xml:space="preserve">478 based on mobility and birth trends, very little development in the area // </t>
    </r>
    <r>
      <rPr>
        <sz val="11"/>
        <color rgb="FFFF0000"/>
        <rFont val="Calibri"/>
        <family val="2"/>
        <scheme val="minor"/>
      </rPr>
      <t>keeping 504 in mtg</t>
    </r>
  </si>
  <si>
    <t>356 in mtg</t>
  </si>
  <si>
    <r>
      <t xml:space="preserve">515 is the low estimate based on mobility and birth trends; </t>
    </r>
    <r>
      <rPr>
        <sz val="11"/>
        <color rgb="FFFF0000"/>
        <rFont val="Calibri"/>
        <family val="2"/>
        <scheme val="minor"/>
      </rPr>
      <t>agree LM</t>
    </r>
  </si>
  <si>
    <r>
      <t xml:space="preserve">947, projections with mobility, birth and development are higher, conservative trend would be 947; </t>
    </r>
    <r>
      <rPr>
        <sz val="11"/>
        <color rgb="FFFF0000"/>
        <rFont val="Calibri"/>
        <family val="2"/>
        <scheme val="minor"/>
      </rPr>
      <t>agree LM based on construction</t>
    </r>
  </si>
  <si>
    <r>
      <t xml:space="preserve">812, westside development will affect // </t>
    </r>
    <r>
      <rPr>
        <sz val="11"/>
        <color rgb="FF3C7D22"/>
        <rFont val="Calibri"/>
        <family val="2"/>
        <scheme val="minor"/>
      </rPr>
      <t>834 in mtg</t>
    </r>
  </si>
  <si>
    <r>
      <t xml:space="preserve">745, not expected to decline- new construction; </t>
    </r>
    <r>
      <rPr>
        <sz val="11"/>
        <color rgb="FFFF0000"/>
        <rFont val="Calibri"/>
        <family val="2"/>
        <scheme val="minor"/>
      </rPr>
      <t>agree LM</t>
    </r>
  </si>
  <si>
    <r>
      <t xml:space="preserve">652 based on mobility and birth trends; </t>
    </r>
    <r>
      <rPr>
        <sz val="11"/>
        <color rgb="FFFF0000"/>
        <rFont val="Calibri"/>
        <family val="2"/>
        <scheme val="minor"/>
      </rPr>
      <t>agree LM</t>
    </r>
  </si>
  <si>
    <r>
      <t xml:space="preserve">680 based on development and mobility trends (westside development under construction); </t>
    </r>
    <r>
      <rPr>
        <sz val="11"/>
        <color rgb="FFFF0000"/>
        <rFont val="Calibri"/>
        <family val="2"/>
        <scheme val="minor"/>
      </rPr>
      <t>agree LM</t>
    </r>
  </si>
  <si>
    <t>basic cohort takes Turner up to 592, mobility, birth and dev increase -I would not suggest going over 592</t>
  </si>
  <si>
    <r>
      <t xml:space="preserve">518 based on mobility and birth trends; projection 461too low: </t>
    </r>
    <r>
      <rPr>
        <sz val="11"/>
        <color rgb="FFFF0000"/>
        <rFont val="Calibri"/>
        <family val="2"/>
        <scheme val="minor"/>
      </rPr>
      <t>agree LM</t>
    </r>
  </si>
  <si>
    <r>
      <t>491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 xml:space="preserve">based on development and mobility, drop looks too steep // </t>
    </r>
    <r>
      <rPr>
        <sz val="11"/>
        <color rgb="FF3C7D22"/>
        <rFont val="Calibri"/>
        <family val="2"/>
        <scheme val="minor"/>
      </rPr>
      <t>500 in mtg</t>
    </r>
  </si>
  <si>
    <t>595 based on mobility and birth trends; typically holding 600-hold 595; agree LM</t>
  </si>
  <si>
    <r>
      <t xml:space="preserve">maybe 423 based on development and mobility trends, 368 projection drop looks too steep; </t>
    </r>
    <r>
      <rPr>
        <sz val="11"/>
        <color rgb="FFFF0000"/>
        <rFont val="Calibri"/>
        <family val="2"/>
        <scheme val="minor"/>
      </rPr>
      <t>agree 423 LM</t>
    </r>
  </si>
  <si>
    <r>
      <t xml:space="preserve">475 based on mobility and birth trends, 430 too low; </t>
    </r>
    <r>
      <rPr>
        <sz val="11"/>
        <color rgb="FFFF0000"/>
        <rFont val="Calibri"/>
        <family val="2"/>
        <scheme val="minor"/>
      </rPr>
      <t>agree LM</t>
    </r>
  </si>
  <si>
    <r>
      <t xml:space="preserve">723 based on development trends and mobility- hold 723; </t>
    </r>
    <r>
      <rPr>
        <sz val="11"/>
        <color rgb="FFFF0000"/>
        <rFont val="Calibri"/>
        <family val="2"/>
        <scheme val="minor"/>
      </rPr>
      <t>agree LM</t>
    </r>
  </si>
  <si>
    <r>
      <t xml:space="preserve">956 based on development trends, 1020 projection is too high; </t>
    </r>
    <r>
      <rPr>
        <sz val="11"/>
        <color rgb="FFFF0000"/>
        <rFont val="Calibri"/>
        <family val="2"/>
        <scheme val="minor"/>
      </rPr>
      <t xml:space="preserve">agree LM </t>
    </r>
    <r>
      <rPr>
        <sz val="11"/>
        <color rgb="FFA02B93"/>
        <rFont val="Calibri"/>
        <family val="2"/>
        <scheme val="minor"/>
      </rPr>
      <t>(Nov enrollment down to 933)</t>
    </r>
  </si>
  <si>
    <r>
      <t xml:space="preserve">402 in mtg based on Dev, mobility; </t>
    </r>
    <r>
      <rPr>
        <sz val="11"/>
        <color rgb="FFFF0000"/>
        <rFont val="Calibri"/>
        <family val="2"/>
        <scheme val="minor"/>
      </rPr>
      <t>agree LM</t>
    </r>
  </si>
  <si>
    <r>
      <t xml:space="preserve">could decrease to 422; </t>
    </r>
    <r>
      <rPr>
        <sz val="11"/>
        <color rgb="FFFF0000"/>
        <rFont val="Calibri"/>
        <family val="2"/>
        <scheme val="minor"/>
      </rPr>
      <t>agree LM</t>
    </r>
  </si>
  <si>
    <r>
      <t xml:space="preserve">607 based on development in the area, decrease is too steep; </t>
    </r>
    <r>
      <rPr>
        <sz val="11"/>
        <color rgb="FFFF0000"/>
        <rFont val="Calibri"/>
        <family val="2"/>
        <scheme val="minor"/>
      </rPr>
      <t>agree LM</t>
    </r>
  </si>
  <si>
    <r>
      <t>projections are showing an increase to 489, this decrease is steep?</t>
    </r>
    <r>
      <rPr>
        <sz val="11"/>
        <color rgb="FFFF0000"/>
        <rFont val="Calibri"/>
        <family val="2"/>
        <scheme val="minor"/>
      </rPr>
      <t xml:space="preserve"> agree LM</t>
    </r>
  </si>
  <si>
    <r>
      <t xml:space="preserve">679 based on mobility and birth trends; </t>
    </r>
    <r>
      <rPr>
        <sz val="11"/>
        <color rgb="FFFF0000"/>
        <rFont val="Calibri"/>
        <family val="2"/>
        <scheme val="minor"/>
      </rPr>
      <t>agree LM</t>
    </r>
  </si>
  <si>
    <r>
      <t xml:space="preserve">577 based on pending development and mobility trends; </t>
    </r>
    <r>
      <rPr>
        <sz val="11"/>
        <color rgb="FFFF0000"/>
        <rFont val="Calibri"/>
        <family val="2"/>
        <scheme val="minor"/>
      </rPr>
      <t>agree LM</t>
    </r>
  </si>
  <si>
    <r>
      <t xml:space="preserve">583 based on mobility and birth trends-hold 583; </t>
    </r>
    <r>
      <rPr>
        <sz val="11"/>
        <color rgb="FFFF0000"/>
        <rFont val="Calibri"/>
        <family val="2"/>
        <scheme val="minor"/>
      </rPr>
      <t>agree LM</t>
    </r>
  </si>
  <si>
    <t>438 based on mobility and birth trends</t>
  </si>
  <si>
    <r>
      <t xml:space="preserve">430 based on mobility, almost all neighborhoods declined in the number of students over 1 and 5 years; </t>
    </r>
    <r>
      <rPr>
        <sz val="11"/>
        <color rgb="FFFF0000"/>
        <rFont val="Calibri"/>
        <family val="2"/>
        <scheme val="minor"/>
      </rPr>
      <t>agree LM</t>
    </r>
  </si>
  <si>
    <r>
      <t xml:space="preserve">506, typically Choice schools hold number-reason for past increase was an added classroom building adding 1 grade per year +22; </t>
    </r>
    <r>
      <rPr>
        <sz val="11"/>
        <color rgb="FFFF0000"/>
        <rFont val="Calibri"/>
        <family val="2"/>
        <scheme val="minor"/>
      </rPr>
      <t>agree LM</t>
    </r>
  </si>
  <si>
    <r>
      <t xml:space="preserve">392 based on pending development, new homes brought 23 students this year to Mims; </t>
    </r>
    <r>
      <rPr>
        <sz val="11"/>
        <color rgb="FFFF0000"/>
        <rFont val="Calibri"/>
        <family val="2"/>
        <scheme val="minor"/>
      </rPr>
      <t>agree LM</t>
    </r>
  </si>
  <si>
    <t>486-491 based on mobility, dev, birth and current (Nov) membership</t>
  </si>
  <si>
    <t>Karen's working totals</t>
  </si>
  <si>
    <t>changed based on Meeting w/ LM</t>
  </si>
  <si>
    <t>Please check your formulas for Middle and High Schools-some projections have steep decreases</t>
  </si>
  <si>
    <t>Growth Management's suggestions-Karen  2nd check with Louis Merrill 12/02/2025</t>
  </si>
  <si>
    <t>increased 21 students based on AB change from Central</t>
  </si>
  <si>
    <r>
      <rPr>
        <i/>
        <sz val="28"/>
        <rFont val="Arial"/>
        <family val="2"/>
      </rPr>
      <t>Draft</t>
    </r>
    <r>
      <rPr>
        <sz val="28"/>
        <rFont val="Arial"/>
        <family val="2"/>
      </rPr>
      <t xml:space="preserve">-5 Year Student Projection Analysis SY2025-26 to SY2030-31
Combining Finance and Growth Management Projections </t>
    </r>
  </si>
  <si>
    <t>2025-26 PK-12 Enroll</t>
  </si>
  <si>
    <t>2026-27
Budget</t>
  </si>
  <si>
    <t>GM 2026/27 minus 2025/26 Actual</t>
  </si>
  <si>
    <t>Budget 2026/27 minus 2025/26 Actual</t>
  </si>
  <si>
    <t>Average 2026/27 minus 2025/26 Actual</t>
  </si>
  <si>
    <t>Growth Management Projections of Students Living within School Boundaries Based on October 10, 2025 Student Addresses, Mobility Factors,  Student Generation Multipliers , and Local Government Development Forecasts Input into School-Site Projection Software.  The School Site projections were then adjusted for Net "From To" Analysis and adjustments for PK/AH Enrollment, Non-geocoded students, and charter school growth.</t>
  </si>
  <si>
    <t>DRAFT Budgeting projection results from review by GM for SY2026-2027 dated 12-03-2025</t>
  </si>
  <si>
    <t>BaseK12ChMOB</t>
  </si>
  <si>
    <t>Base K12ChMOBBirth</t>
  </si>
  <si>
    <t>BaseK12ChFullDevMobility</t>
  </si>
  <si>
    <t>Edit for dev</t>
  </si>
  <si>
    <t>Key</t>
  </si>
  <si>
    <t>12/05/2025 School Land Inventory</t>
  </si>
  <si>
    <t>Total Student Stations: 91,599</t>
  </si>
  <si>
    <t xml:space="preserve"> Inventory of School Houses (FISH) database on 12-05-2025.</t>
  </si>
  <si>
    <t>updated based on history and CL review</t>
  </si>
  <si>
    <t xml:space="preserve">Note 6: </t>
  </si>
  <si>
    <t>A classroom addition is planned to open at Westside Elementary School fo SY2026-27; the projected capacity is adjusted for the proposed 216 student stations.</t>
  </si>
  <si>
    <t xml:space="preserve">Note 7: </t>
  </si>
  <si>
    <t>A classroom addition is planned to open at Bayside Senior High School for SY2027-28; the projected capacity is adjusted for the proposed 800 student stations.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</si>
</sst>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_);[Red]\(#,##0\);;@"/>
    <numFmt numFmtId="165" formatCode="_(* #,##0_);_(* \(#,##0\);_(* &quot;-&quot;??_);_(@_)"/>
    <numFmt numFmtId="166" formatCode="0_);[Red]\(0\)"/>
  </numFmts>
  <fonts count="6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Helv"/>
    </font>
    <font>
      <b/>
      <sz val="14"/>
      <name val="Calibri"/>
      <family val="2"/>
      <scheme val="minor"/>
    </font>
    <font>
      <sz val="28"/>
      <name val="Calibri"/>
      <family val="2"/>
      <scheme val="minor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indexed="12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3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1"/>
      <color rgb="FFFF0000"/>
      <name val="Calibri"/>
      <family val="2"/>
      <scheme val="minor"/>
    </font>
    <font>
      <sz val="36"/>
      <name val="Arial"/>
      <family val="2"/>
    </font>
    <font>
      <sz val="2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Helv"/>
    </font>
    <font>
      <b/>
      <sz val="14"/>
      <name val="Helv"/>
    </font>
    <font>
      <strike/>
      <sz val="10"/>
      <name val="Arial"/>
      <family val="2"/>
    </font>
    <font>
      <b/>
      <sz val="10"/>
      <color rgb="FFFF0000"/>
      <name val="Arial"/>
      <family val="2"/>
    </font>
    <font>
      <sz val="10"/>
      <color theme="4"/>
      <name val="Arial"/>
      <family val="2"/>
    </font>
    <font>
      <sz val="8"/>
      <name val="Arial"/>
      <family val="2"/>
    </font>
    <font>
      <b/>
      <sz val="8"/>
      <color rgb="FFC00000"/>
      <name val="Calibri"/>
      <family val="2"/>
      <scheme val="minor"/>
    </font>
    <font>
      <sz val="10"/>
      <name val="Arial"/>
      <family val="2"/>
    </font>
    <font>
      <i/>
      <sz val="28"/>
      <name val="Arial"/>
      <family val="2"/>
    </font>
    <font>
      <b/>
      <sz val="14"/>
      <color rgb="FF180890"/>
      <name val="Calibri"/>
      <family val="2"/>
      <scheme val="minor"/>
    </font>
    <font>
      <b/>
      <sz val="12"/>
      <color rgb="FF180890"/>
      <name val="Calibri"/>
      <family val="2"/>
      <scheme val="minor"/>
    </font>
    <font>
      <sz val="11"/>
      <color rgb="FF180890"/>
      <name val="Calibri"/>
      <family val="2"/>
      <scheme val="minor"/>
    </font>
    <font>
      <sz val="10"/>
      <color rgb="FF180890"/>
      <name val="Calibri"/>
      <family val="2"/>
      <scheme val="minor"/>
    </font>
    <font>
      <sz val="9"/>
      <color rgb="FF180890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color rgb="FF00B050"/>
      <name val="Aptos Narrow"/>
      <family val="2"/>
    </font>
    <font>
      <b/>
      <sz val="11"/>
      <color theme="4"/>
      <name val="Aptos Narrow"/>
      <family val="2"/>
    </font>
    <font>
      <sz val="11"/>
      <color rgb="FF145F82"/>
      <name val="Aptos Narrow"/>
      <family val="2"/>
    </font>
    <font>
      <b/>
      <sz val="11"/>
      <color rgb="FF00B050"/>
      <name val="Aptos Narrow"/>
      <family val="2"/>
    </font>
    <font>
      <b/>
      <sz val="11"/>
      <color rgb="FF145F82"/>
      <name val="Aptos Narrow"/>
      <family val="2"/>
    </font>
    <font>
      <b/>
      <sz val="11"/>
      <color theme="4"/>
      <name val="Calibri"/>
      <family val="2"/>
      <scheme val="minor"/>
    </font>
    <font>
      <u/>
      <sz val="11"/>
      <color rgb="FF000000"/>
      <name val="Aptos Narrow"/>
      <family val="2"/>
    </font>
    <font>
      <sz val="11"/>
      <color theme="4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145F8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C7D22"/>
      <name val="Calibri"/>
      <family val="2"/>
      <scheme val="minor"/>
    </font>
    <font>
      <sz val="11"/>
      <color rgb="FF3C7D22"/>
      <name val="Calibri"/>
      <family val="2"/>
      <scheme val="minor"/>
    </font>
    <font>
      <sz val="11"/>
      <color rgb="FFA02B93"/>
      <name val="Calibri"/>
      <family val="2"/>
      <scheme val="minor"/>
    </font>
    <font>
      <sz val="11"/>
      <color rgb="FF145F8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E4F5"/>
        <bgColor rgb="FFC0E4F5"/>
      </patternFill>
    </fill>
    <fill>
      <patternFill patternType="solid">
        <fgColor rgb="FFC0E4F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145F82"/>
        <bgColor rgb="FF145F8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9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55"/>
      </right>
      <top style="medium">
        <color indexed="64"/>
      </top>
      <bottom style="hair">
        <color indexed="64"/>
      </bottom>
      <diagonal/>
    </border>
    <border>
      <left style="hair">
        <color indexed="55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55"/>
      </left>
      <right style="hair">
        <color indexed="55"/>
      </right>
      <top style="medium">
        <color indexed="64"/>
      </top>
      <bottom style="hair">
        <color indexed="64"/>
      </bottom>
      <diagonal/>
    </border>
    <border>
      <left style="hair">
        <color indexed="55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55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55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55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22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55"/>
      </right>
      <top style="hair">
        <color indexed="64"/>
      </top>
      <bottom style="thin">
        <color indexed="64"/>
      </bottom>
      <diagonal/>
    </border>
    <border>
      <left style="hair">
        <color indexed="55"/>
      </left>
      <right style="hair">
        <color indexed="55"/>
      </right>
      <top style="hair">
        <color indexed="64"/>
      </top>
      <bottom style="thin">
        <color indexed="64"/>
      </bottom>
      <diagonal/>
    </border>
    <border>
      <left style="hair">
        <color indexed="55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55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55"/>
      </right>
      <top style="hair">
        <color indexed="64"/>
      </top>
      <bottom style="medium">
        <color indexed="64"/>
      </bottom>
      <diagonal/>
    </border>
    <border>
      <left style="hair">
        <color indexed="55"/>
      </left>
      <right style="hair">
        <color indexed="55"/>
      </right>
      <top style="hair">
        <color indexed="64"/>
      </top>
      <bottom style="medium">
        <color indexed="64"/>
      </bottom>
      <diagonal/>
    </border>
    <border>
      <left style="hair">
        <color indexed="55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55"/>
      </right>
      <top style="hair">
        <color indexed="64"/>
      </top>
      <bottom style="medium">
        <color indexed="64"/>
      </bottom>
      <diagonal/>
    </border>
    <border>
      <left style="hair">
        <color indexed="55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55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55"/>
      </right>
      <top/>
      <bottom style="medium">
        <color indexed="64"/>
      </bottom>
      <diagonal/>
    </border>
    <border>
      <left style="hair">
        <color indexed="55"/>
      </left>
      <right style="thin">
        <color indexed="64"/>
      </right>
      <top/>
      <bottom style="medium">
        <color indexed="64"/>
      </bottom>
      <diagonal/>
    </border>
    <border>
      <left style="hair">
        <color indexed="55"/>
      </left>
      <right style="hair">
        <color indexed="55"/>
      </right>
      <top/>
      <bottom style="medium">
        <color indexed="64"/>
      </bottom>
      <diagonal/>
    </border>
    <border>
      <left style="hair">
        <color indexed="55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55"/>
      </right>
      <top style="medium">
        <color indexed="64"/>
      </top>
      <bottom style="medium">
        <color indexed="64"/>
      </bottom>
      <diagonal/>
    </border>
    <border>
      <left style="hair">
        <color indexed="55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hair">
        <color indexed="55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55"/>
      </left>
      <right style="hair">
        <color indexed="55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55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55"/>
      </left>
      <right style="hair">
        <color indexed="55"/>
      </right>
      <top style="hair">
        <color indexed="64"/>
      </top>
      <bottom style="hair">
        <color indexed="64"/>
      </bottom>
      <diagonal/>
    </border>
    <border>
      <left style="hair">
        <color indexed="55"/>
      </left>
      <right/>
      <top style="hair">
        <color indexed="64"/>
      </top>
      <bottom style="hair">
        <color indexed="64"/>
      </bottom>
      <diagonal/>
    </border>
    <border>
      <left style="hair">
        <color indexed="55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55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55"/>
      </left>
      <right style="hair">
        <color indexed="55"/>
      </right>
      <top style="hair">
        <color indexed="64"/>
      </top>
      <bottom style="hair">
        <color indexed="64"/>
      </bottom>
      <diagonal/>
    </border>
    <border>
      <left style="hair">
        <color indexed="55"/>
      </left>
      <right/>
      <top style="hair">
        <color indexed="64"/>
      </top>
      <bottom style="hair">
        <color indexed="64"/>
      </bottom>
      <diagonal/>
    </border>
    <border>
      <left style="hair">
        <color indexed="55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medium">
        <color auto="1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8"/>
      </right>
      <top/>
      <bottom style="medium">
        <color indexed="64"/>
      </bottom>
      <diagonal/>
    </border>
    <border>
      <left style="hair">
        <color indexed="8"/>
      </left>
      <right/>
      <top/>
      <bottom style="medium">
        <color indexed="64"/>
      </bottom>
      <diagonal/>
    </border>
    <border>
      <left/>
      <right style="hair">
        <color indexed="55"/>
      </right>
      <top style="medium">
        <color indexed="64"/>
      </top>
      <bottom style="hair">
        <color indexed="64"/>
      </bottom>
      <diagonal/>
    </border>
    <border>
      <left/>
      <right style="hair">
        <color indexed="55"/>
      </right>
      <top style="hair">
        <color indexed="64"/>
      </top>
      <bottom style="hair">
        <color indexed="64"/>
      </bottom>
      <diagonal/>
    </border>
    <border>
      <left/>
      <right style="hair">
        <color indexed="55"/>
      </right>
      <top style="hair">
        <color indexed="64"/>
      </top>
      <bottom style="medium">
        <color indexed="64"/>
      </bottom>
      <diagonal/>
    </border>
    <border>
      <left/>
      <right style="hair">
        <color indexed="55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55"/>
      </right>
      <top/>
      <bottom style="hair">
        <color indexed="64"/>
      </bottom>
      <diagonal/>
    </border>
    <border>
      <left style="hair">
        <color indexed="55"/>
      </left>
      <right style="hair">
        <color indexed="55"/>
      </right>
      <top/>
      <bottom style="hair">
        <color indexed="64"/>
      </bottom>
      <diagonal/>
    </border>
    <border>
      <left style="hair">
        <color indexed="55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F4762"/>
      </top>
      <bottom style="medium">
        <color rgb="FF0F4762"/>
      </bottom>
      <diagonal/>
    </border>
    <border>
      <left/>
      <right/>
      <top style="thin">
        <color rgb="FF0F4762"/>
      </top>
      <bottom style="medium">
        <color rgb="FF0F47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F4762"/>
      </top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2" fillId="0" borderId="0">
      <alignment wrapText="1"/>
    </xf>
    <xf numFmtId="0" fontId="2" fillId="0" borderId="0"/>
    <xf numFmtId="0" fontId="3" fillId="0" borderId="0"/>
    <xf numFmtId="0" fontId="19" fillId="0" borderId="0"/>
    <xf numFmtId="0" fontId="2" fillId="0" borderId="0"/>
    <xf numFmtId="0" fontId="20" fillId="0" borderId="0">
      <alignment horizontal="left" indent="1"/>
    </xf>
    <xf numFmtId="0" fontId="2" fillId="0" borderId="0"/>
    <xf numFmtId="0" fontId="3" fillId="0" borderId="0"/>
    <xf numFmtId="0" fontId="34" fillId="0" borderId="0"/>
    <xf numFmtId="9" fontId="34" fillId="0" borderId="0" applyFont="0" applyFill="0" applyBorder="0" applyAlignment="0" applyProtection="0"/>
  </cellStyleXfs>
  <cellXfs count="706">
    <xf numFmtId="0" fontId="0" fillId="0" borderId="0" xfId="0"/>
    <xf numFmtId="9" fontId="0" fillId="0" borderId="35" xfId="3" applyFont="1" applyBorder="1" applyAlignment="1">
      <alignment horizontal="center"/>
    </xf>
    <xf numFmtId="9" fontId="0" fillId="0" borderId="31" xfId="3" applyFont="1" applyBorder="1" applyAlignment="1">
      <alignment horizontal="center"/>
    </xf>
    <xf numFmtId="9" fontId="0" fillId="0" borderId="34" xfId="3" applyFont="1" applyBorder="1" applyAlignment="1">
      <alignment horizontal="center"/>
    </xf>
    <xf numFmtId="9" fontId="0" fillId="0" borderId="36" xfId="3" applyFont="1" applyBorder="1" applyAlignment="1">
      <alignment horizontal="center"/>
    </xf>
    <xf numFmtId="9" fontId="0" fillId="0" borderId="39" xfId="3" applyFont="1" applyBorder="1" applyAlignment="1">
      <alignment horizontal="center"/>
    </xf>
    <xf numFmtId="9" fontId="0" fillId="0" borderId="38" xfId="3" applyFont="1" applyBorder="1" applyAlignment="1">
      <alignment horizontal="center"/>
    </xf>
    <xf numFmtId="9" fontId="0" fillId="0" borderId="44" xfId="3" applyFont="1" applyBorder="1" applyAlignment="1">
      <alignment horizontal="center"/>
    </xf>
    <xf numFmtId="9" fontId="0" fillId="0" borderId="45" xfId="3" applyFont="1" applyBorder="1" applyAlignment="1">
      <alignment horizontal="center"/>
    </xf>
    <xf numFmtId="9" fontId="0" fillId="0" borderId="48" xfId="3" applyFont="1" applyBorder="1" applyAlignment="1">
      <alignment horizontal="center"/>
    </xf>
    <xf numFmtId="9" fontId="0" fillId="0" borderId="51" xfId="3" applyFont="1" applyBorder="1" applyAlignment="1">
      <alignment horizontal="center"/>
    </xf>
    <xf numFmtId="9" fontId="0" fillId="0" borderId="54" xfId="3" applyFont="1" applyBorder="1" applyAlignment="1">
      <alignment horizontal="center"/>
    </xf>
    <xf numFmtId="9" fontId="0" fillId="0" borderId="52" xfId="3" applyFont="1" applyBorder="1" applyAlignment="1">
      <alignment horizontal="center"/>
    </xf>
    <xf numFmtId="9" fontId="0" fillId="0" borderId="53" xfId="3" applyFont="1" applyBorder="1" applyAlignment="1">
      <alignment horizontal="center"/>
    </xf>
    <xf numFmtId="9" fontId="0" fillId="0" borderId="55" xfId="3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165" fontId="0" fillId="0" borderId="31" xfId="1" applyNumberFormat="1" applyFont="1" applyBorder="1"/>
    <xf numFmtId="165" fontId="0" fillId="0" borderId="32" xfId="1" applyNumberFormat="1" applyFont="1" applyBorder="1"/>
    <xf numFmtId="165" fontId="0" fillId="0" borderId="33" xfId="1" applyNumberFormat="1" applyFont="1" applyBorder="1"/>
    <xf numFmtId="165" fontId="0" fillId="0" borderId="34" xfId="1" applyNumberFormat="1" applyFont="1" applyBorder="1"/>
    <xf numFmtId="165" fontId="0" fillId="0" borderId="38" xfId="1" applyNumberFormat="1" applyFont="1" applyBorder="1"/>
    <xf numFmtId="165" fontId="0" fillId="0" borderId="52" xfId="1" applyNumberFormat="1" applyFont="1" applyBorder="1"/>
    <xf numFmtId="165" fontId="0" fillId="0" borderId="51" xfId="1" applyNumberFormat="1" applyFont="1" applyBorder="1"/>
    <xf numFmtId="165" fontId="0" fillId="0" borderId="50" xfId="1" applyNumberFormat="1" applyFont="1" applyBorder="1"/>
    <xf numFmtId="165" fontId="0" fillId="0" borderId="53" xfId="1" applyNumberFormat="1" applyFont="1" applyBorder="1"/>
    <xf numFmtId="165" fontId="0" fillId="0" borderId="67" xfId="1" applyNumberFormat="1" applyFont="1" applyBorder="1"/>
    <xf numFmtId="9" fontId="0" fillId="0" borderId="73" xfId="3" applyFont="1" applyBorder="1" applyAlignment="1">
      <alignment horizontal="center" vertical="center" wrapText="1"/>
    </xf>
    <xf numFmtId="9" fontId="0" fillId="0" borderId="74" xfId="3" applyFont="1" applyBorder="1" applyAlignment="1">
      <alignment horizontal="center" vertical="center" wrapText="1"/>
    </xf>
    <xf numFmtId="9" fontId="0" fillId="0" borderId="72" xfId="3" applyFont="1" applyBorder="1" applyAlignment="1">
      <alignment horizontal="center" vertical="center" wrapText="1"/>
    </xf>
    <xf numFmtId="9" fontId="0" fillId="0" borderId="75" xfId="3" applyFont="1" applyBorder="1" applyAlignment="1">
      <alignment horizontal="center" vertical="center" wrapText="1"/>
    </xf>
    <xf numFmtId="9" fontId="0" fillId="0" borderId="77" xfId="3" applyFont="1" applyBorder="1" applyAlignment="1">
      <alignment horizontal="center"/>
    </xf>
    <xf numFmtId="9" fontId="0" fillId="0" borderId="80" xfId="3" applyFont="1" applyBorder="1" applyAlignment="1">
      <alignment horizontal="center"/>
    </xf>
    <xf numFmtId="9" fontId="0" fillId="0" borderId="83" xfId="3" applyFont="1" applyBorder="1" applyAlignment="1">
      <alignment horizontal="center"/>
    </xf>
    <xf numFmtId="9" fontId="0" fillId="0" borderId="84" xfId="3" applyFont="1" applyBorder="1" applyAlignment="1">
      <alignment horizontal="center"/>
    </xf>
    <xf numFmtId="9" fontId="0" fillId="0" borderId="81" xfId="3" applyFont="1" applyBorder="1" applyAlignment="1">
      <alignment horizontal="center"/>
    </xf>
    <xf numFmtId="165" fontId="0" fillId="0" borderId="81" xfId="1" applyNumberFormat="1" applyFont="1" applyBorder="1"/>
    <xf numFmtId="165" fontId="0" fillId="0" borderId="82" xfId="1" applyNumberFormat="1" applyFont="1" applyBorder="1"/>
    <xf numFmtId="165" fontId="0" fillId="0" borderId="83" xfId="1" applyNumberFormat="1" applyFont="1" applyBorder="1"/>
    <xf numFmtId="9" fontId="0" fillId="9" borderId="86" xfId="3" applyFont="1" applyFill="1" applyBorder="1" applyAlignment="1">
      <alignment horizontal="center"/>
    </xf>
    <xf numFmtId="9" fontId="0" fillId="9" borderId="81" xfId="3" applyFont="1" applyFill="1" applyBorder="1" applyAlignment="1">
      <alignment horizontal="center"/>
    </xf>
    <xf numFmtId="9" fontId="0" fillId="0" borderId="90" xfId="3" applyFont="1" applyBorder="1" applyAlignment="1">
      <alignment horizontal="center"/>
    </xf>
    <xf numFmtId="9" fontId="0" fillId="9" borderId="39" xfId="3" applyFont="1" applyFill="1" applyBorder="1" applyAlignment="1">
      <alignment horizontal="center"/>
    </xf>
    <xf numFmtId="164" fontId="0" fillId="0" borderId="91" xfId="1" applyNumberFormat="1" applyFont="1" applyBorder="1"/>
    <xf numFmtId="164" fontId="0" fillId="0" borderId="79" xfId="1" applyNumberFormat="1" applyFont="1" applyBorder="1"/>
    <xf numFmtId="9" fontId="0" fillId="0" borderId="79" xfId="3" applyFont="1" applyBorder="1" applyAlignment="1">
      <alignment horizontal="center"/>
    </xf>
    <xf numFmtId="9" fontId="0" fillId="0" borderId="92" xfId="3" applyFont="1" applyBorder="1" applyAlignment="1">
      <alignment horizontal="center"/>
    </xf>
    <xf numFmtId="164" fontId="0" fillId="9" borderId="91" xfId="1" applyNumberFormat="1" applyFont="1" applyFill="1" applyBorder="1"/>
    <xf numFmtId="164" fontId="0" fillId="9" borderId="79" xfId="1" applyNumberFormat="1" applyFont="1" applyFill="1" applyBorder="1"/>
    <xf numFmtId="9" fontId="0" fillId="9" borderId="79" xfId="3" applyFont="1" applyFill="1" applyBorder="1" applyAlignment="1">
      <alignment horizontal="center"/>
    </xf>
    <xf numFmtId="9" fontId="0" fillId="9" borderId="92" xfId="3" applyFont="1" applyFill="1" applyBorder="1" applyAlignment="1">
      <alignment horizontal="center"/>
    </xf>
    <xf numFmtId="164" fontId="0" fillId="0" borderId="93" xfId="1" applyNumberFormat="1" applyFont="1" applyBorder="1"/>
    <xf numFmtId="164" fontId="0" fillId="0" borderId="94" xfId="1" applyNumberFormat="1" applyFont="1" applyBorder="1"/>
    <xf numFmtId="9" fontId="0" fillId="0" borderId="94" xfId="3" applyFont="1" applyBorder="1" applyAlignment="1">
      <alignment horizontal="center"/>
    </xf>
    <xf numFmtId="9" fontId="0" fillId="0" borderId="95" xfId="3" applyFont="1" applyBorder="1" applyAlignment="1">
      <alignment horizontal="center"/>
    </xf>
    <xf numFmtId="164" fontId="0" fillId="0" borderId="96" xfId="1" applyNumberFormat="1" applyFont="1" applyBorder="1"/>
    <xf numFmtId="164" fontId="0" fillId="0" borderId="97" xfId="1" applyNumberFormat="1" applyFont="1" applyBorder="1"/>
    <xf numFmtId="9" fontId="0" fillId="0" borderId="97" xfId="3" applyFont="1" applyBorder="1" applyAlignment="1">
      <alignment horizontal="center"/>
    </xf>
    <xf numFmtId="9" fontId="0" fillId="0" borderId="98" xfId="3" applyFont="1" applyBorder="1" applyAlignment="1">
      <alignment horizontal="center"/>
    </xf>
    <xf numFmtId="164" fontId="0" fillId="0" borderId="89" xfId="1" applyNumberFormat="1" applyFont="1" applyBorder="1"/>
    <xf numFmtId="9" fontId="0" fillId="0" borderId="89" xfId="3" applyFont="1" applyBorder="1" applyAlignment="1">
      <alignment horizontal="center"/>
    </xf>
    <xf numFmtId="9" fontId="0" fillId="0" borderId="100" xfId="3" applyFont="1" applyBorder="1" applyAlignment="1">
      <alignment horizontal="center"/>
    </xf>
    <xf numFmtId="164" fontId="0" fillId="0" borderId="101" xfId="1" applyNumberFormat="1" applyFont="1" applyBorder="1"/>
    <xf numFmtId="164" fontId="0" fillId="9" borderId="101" xfId="1" applyNumberFormat="1" applyFont="1" applyFill="1" applyBorder="1"/>
    <xf numFmtId="164" fontId="0" fillId="0" borderId="102" xfId="1" applyNumberFormat="1" applyFont="1" applyBorder="1"/>
    <xf numFmtId="164" fontId="0" fillId="0" borderId="103" xfId="1" applyNumberFormat="1" applyFont="1" applyBorder="1"/>
    <xf numFmtId="164" fontId="0" fillId="0" borderId="104" xfId="1" applyNumberFormat="1" applyFont="1" applyBorder="1"/>
    <xf numFmtId="164" fontId="0" fillId="0" borderId="105" xfId="1" applyNumberFormat="1" applyFont="1" applyBorder="1"/>
    <xf numFmtId="164" fontId="0" fillId="9" borderId="105" xfId="1" applyNumberFormat="1" applyFont="1" applyFill="1" applyBorder="1"/>
    <xf numFmtId="164" fontId="0" fillId="0" borderId="90" xfId="1" applyNumberFormat="1" applyFont="1" applyBorder="1"/>
    <xf numFmtId="164" fontId="0" fillId="0" borderId="106" xfId="1" applyNumberFormat="1" applyFont="1" applyBorder="1"/>
    <xf numFmtId="164" fontId="0" fillId="0" borderId="66" xfId="1" applyNumberFormat="1" applyFont="1" applyBorder="1"/>
    <xf numFmtId="164" fontId="0" fillId="0" borderId="54" xfId="1" applyNumberFormat="1" applyFont="1" applyBorder="1"/>
    <xf numFmtId="9" fontId="0" fillId="0" borderId="104" xfId="3" applyFont="1" applyBorder="1" applyAlignment="1">
      <alignment horizontal="center"/>
    </xf>
    <xf numFmtId="9" fontId="0" fillId="0" borderId="101" xfId="3" applyFont="1" applyBorder="1" applyAlignment="1">
      <alignment horizontal="center"/>
    </xf>
    <xf numFmtId="9" fontId="0" fillId="9" borderId="101" xfId="3" applyFont="1" applyFill="1" applyBorder="1" applyAlignment="1">
      <alignment horizontal="center"/>
    </xf>
    <xf numFmtId="9" fontId="0" fillId="0" borderId="102" xfId="3" applyFont="1" applyBorder="1" applyAlignment="1">
      <alignment horizontal="center"/>
    </xf>
    <xf numFmtId="9" fontId="0" fillId="0" borderId="103" xfId="3" applyFont="1" applyBorder="1" applyAlignment="1">
      <alignment horizontal="center"/>
    </xf>
    <xf numFmtId="164" fontId="0" fillId="0" borderId="39" xfId="1" applyNumberFormat="1" applyFont="1" applyBorder="1"/>
    <xf numFmtId="164" fontId="0" fillId="9" borderId="39" xfId="1" applyNumberFormat="1" applyFont="1" applyFill="1" applyBorder="1"/>
    <xf numFmtId="164" fontId="0" fillId="0" borderId="45" xfId="1" applyNumberFormat="1" applyFont="1" applyBorder="1"/>
    <xf numFmtId="164" fontId="0" fillId="0" borderId="48" xfId="1" applyNumberFormat="1" applyFont="1" applyBorder="1"/>
    <xf numFmtId="9" fontId="0" fillId="0" borderId="106" xfId="3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2" borderId="6" xfId="0" applyFont="1" applyFill="1" applyBorder="1" applyAlignment="1">
      <alignment horizontal="centerContinuous" vertical="center"/>
    </xf>
    <xf numFmtId="0" fontId="9" fillId="2" borderId="3" xfId="0" applyFont="1" applyFill="1" applyBorder="1" applyAlignment="1">
      <alignment horizontal="centerContinuous" vertical="center"/>
    </xf>
    <xf numFmtId="0" fontId="9" fillId="2" borderId="7" xfId="0" quotePrefix="1" applyFont="1" applyFill="1" applyBorder="1" applyAlignment="1">
      <alignment horizontal="centerContinuous" vertical="center" wrapText="1"/>
    </xf>
    <xf numFmtId="0" fontId="9" fillId="2" borderId="3" xfId="0" applyFont="1" applyFill="1" applyBorder="1" applyAlignment="1">
      <alignment horizontal="centerContinuous" vertical="center" wrapText="1"/>
    </xf>
    <xf numFmtId="0" fontId="9" fillId="2" borderId="4" xfId="0" applyFont="1" applyFill="1" applyBorder="1" applyAlignment="1">
      <alignment horizontal="centerContinuous" vertical="center" wrapText="1"/>
    </xf>
    <xf numFmtId="0" fontId="0" fillId="0" borderId="112" xfId="0" applyBorder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2" borderId="12" xfId="1" applyNumberFormat="1" applyFont="1" applyFill="1" applyBorder="1" applyAlignment="1" applyProtection="1">
      <alignment horizontal="centerContinuous" vertical="center" wrapText="1"/>
      <protection locked="0"/>
    </xf>
    <xf numFmtId="0" fontId="10" fillId="2" borderId="11" xfId="1" quotePrefix="1" applyNumberFormat="1" applyFont="1" applyFill="1" applyBorder="1" applyAlignment="1" applyProtection="1">
      <alignment horizontal="centerContinuous" vertical="center" wrapText="1"/>
      <protection locked="0"/>
    </xf>
    <xf numFmtId="0" fontId="10" fillId="2" borderId="13" xfId="1" applyNumberFormat="1" applyFont="1" applyFill="1" applyBorder="1" applyAlignment="1" applyProtection="1">
      <alignment horizontal="center" vertical="center" wrapText="1"/>
      <protection locked="0"/>
    </xf>
    <xf numFmtId="0" fontId="10" fillId="2" borderId="13" xfId="0" applyFont="1" applyFill="1" applyBorder="1" applyAlignment="1">
      <alignment horizontal="center" vertical="center" wrapText="1"/>
    </xf>
    <xf numFmtId="0" fontId="10" fillId="0" borderId="112" xfId="0" applyFont="1" applyBorder="1" applyAlignment="1">
      <alignment vertical="center"/>
    </xf>
    <xf numFmtId="0" fontId="10" fillId="2" borderId="0" xfId="0" applyFont="1" applyFill="1" applyAlignment="1" applyProtection="1">
      <alignment horizontal="center" vertical="center"/>
      <protection locked="0"/>
    </xf>
    <xf numFmtId="0" fontId="10" fillId="2" borderId="0" xfId="0" applyFont="1" applyFill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0" fillId="2" borderId="0" xfId="0" applyFont="1" applyFill="1" applyAlignment="1" applyProtection="1">
      <alignment horizontal="center"/>
      <protection locked="0"/>
    </xf>
    <xf numFmtId="0" fontId="10" fillId="2" borderId="22" xfId="0" applyFont="1" applyFill="1" applyBorder="1" applyAlignment="1" applyProtection="1">
      <alignment horizontal="center" vertical="center"/>
      <protection locked="0"/>
    </xf>
    <xf numFmtId="0" fontId="10" fillId="2" borderId="23" xfId="0" applyFont="1" applyFill="1" applyBorder="1" applyAlignment="1" applyProtection="1">
      <alignment horizontal="center" vertical="center"/>
      <protection locked="0"/>
    </xf>
    <xf numFmtId="0" fontId="10" fillId="2" borderId="24" xfId="0" applyFont="1" applyFill="1" applyBorder="1" applyAlignment="1" applyProtection="1">
      <alignment horizontal="center" vertical="center"/>
      <protection locked="0"/>
    </xf>
    <xf numFmtId="0" fontId="11" fillId="2" borderId="25" xfId="2" applyNumberFormat="1" applyFont="1" applyFill="1" applyBorder="1" applyAlignment="1" applyProtection="1">
      <alignment horizontal="centerContinuous" vertical="center" wrapText="1"/>
      <protection locked="0"/>
    </xf>
    <xf numFmtId="0" fontId="11" fillId="2" borderId="26" xfId="2" applyNumberFormat="1" applyFont="1" applyFill="1" applyBorder="1" applyAlignment="1" applyProtection="1">
      <alignment horizontal="centerContinuous" vertical="center" wrapText="1"/>
      <protection locked="0"/>
    </xf>
    <xf numFmtId="0" fontId="11" fillId="2" borderId="25" xfId="2" applyNumberFormat="1" applyFont="1" applyFill="1" applyBorder="1" applyAlignment="1" applyProtection="1">
      <alignment horizontal="center" vertical="center" wrapText="1"/>
      <protection locked="0"/>
    </xf>
    <xf numFmtId="0" fontId="11" fillId="2" borderId="27" xfId="1" quotePrefix="1" applyNumberFormat="1" applyFont="1" applyFill="1" applyBorder="1" applyAlignment="1" applyProtection="1">
      <alignment horizontal="center" vertical="center" wrapText="1"/>
      <protection locked="0"/>
    </xf>
    <xf numFmtId="0" fontId="11" fillId="2" borderId="28" xfId="1" quotePrefix="1" applyNumberFormat="1" applyFont="1" applyFill="1" applyBorder="1" applyAlignment="1" applyProtection="1">
      <alignment horizontal="center" vertical="center" wrapText="1"/>
      <protection locked="0"/>
    </xf>
    <xf numFmtId="0" fontId="11" fillId="2" borderId="23" xfId="1" quotePrefix="1" applyNumberFormat="1" applyFont="1" applyFill="1" applyBorder="1" applyAlignment="1" applyProtection="1">
      <alignment horizontal="center" vertical="center" wrapText="1"/>
      <protection locked="0"/>
    </xf>
    <xf numFmtId="43" fontId="11" fillId="2" borderId="23" xfId="1" quotePrefix="1" applyFont="1" applyFill="1" applyBorder="1" applyAlignment="1" applyProtection="1">
      <alignment horizontal="center" vertical="center" wrapText="1"/>
      <protection locked="0"/>
    </xf>
    <xf numFmtId="0" fontId="11" fillId="2" borderId="24" xfId="1" quotePrefix="1" applyNumberFormat="1" applyFont="1" applyFill="1" applyBorder="1" applyAlignment="1" applyProtection="1">
      <alignment horizontal="center" vertical="center" wrapText="1"/>
      <protection locked="0"/>
    </xf>
    <xf numFmtId="43" fontId="11" fillId="2" borderId="29" xfId="1" quotePrefix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164" fontId="0" fillId="3" borderId="107" xfId="0" applyNumberFormat="1" applyFill="1" applyBorder="1"/>
    <xf numFmtId="0" fontId="0" fillId="3" borderId="97" xfId="0" applyFill="1" applyBorder="1"/>
    <xf numFmtId="164" fontId="13" fillId="0" borderId="48" xfId="1" applyNumberFormat="1" applyFont="1" applyBorder="1"/>
    <xf numFmtId="164" fontId="13" fillId="0" borderId="103" xfId="1" applyNumberFormat="1" applyFont="1" applyBorder="1"/>
    <xf numFmtId="164" fontId="13" fillId="0" borderId="97" xfId="1" applyNumberFormat="1" applyFont="1" applyBorder="1"/>
    <xf numFmtId="164" fontId="13" fillId="0" borderId="106" xfId="1" applyNumberFormat="1" applyFont="1" applyBorder="1"/>
    <xf numFmtId="164" fontId="0" fillId="3" borderId="37" xfId="0" applyNumberFormat="1" applyFill="1" applyBorder="1"/>
    <xf numFmtId="0" fontId="0" fillId="3" borderId="82" xfId="0" applyFill="1" applyBorder="1"/>
    <xf numFmtId="164" fontId="13" fillId="0" borderId="39" xfId="1" applyNumberFormat="1" applyFont="1" applyBorder="1"/>
    <xf numFmtId="164" fontId="13" fillId="0" borderId="101" xfId="1" applyNumberFormat="1" applyFont="1" applyBorder="1"/>
    <xf numFmtId="164" fontId="13" fillId="0" borderId="79" xfId="1" applyNumberFormat="1" applyFont="1" applyBorder="1"/>
    <xf numFmtId="164" fontId="13" fillId="0" borderId="105" xfId="1" applyNumberFormat="1" applyFont="1" applyBorder="1"/>
    <xf numFmtId="164" fontId="0" fillId="0" borderId="91" xfId="0" applyNumberFormat="1" applyBorder="1"/>
    <xf numFmtId="164" fontId="0" fillId="3" borderId="41" xfId="0" applyNumberFormat="1" applyFill="1" applyBorder="1"/>
    <xf numFmtId="0" fontId="0" fillId="3" borderId="79" xfId="0" applyFill="1" applyBorder="1"/>
    <xf numFmtId="0" fontId="0" fillId="9" borderId="0" xfId="0" applyFill="1" applyAlignment="1">
      <alignment horizontal="center"/>
    </xf>
    <xf numFmtId="0" fontId="0" fillId="9" borderId="0" xfId="0" applyFill="1"/>
    <xf numFmtId="164" fontId="0" fillId="9" borderId="85" xfId="0" applyNumberFormat="1" applyFill="1" applyBorder="1"/>
    <xf numFmtId="0" fontId="0" fillId="9" borderId="61" xfId="0" applyFill="1" applyBorder="1"/>
    <xf numFmtId="0" fontId="0" fillId="3" borderId="82" xfId="0" quotePrefix="1" applyFill="1" applyBorder="1" applyAlignment="1">
      <alignment horizontal="left"/>
    </xf>
    <xf numFmtId="0" fontId="0" fillId="3" borderId="79" xfId="0" quotePrefix="1" applyFill="1" applyBorder="1" applyAlignment="1">
      <alignment horizontal="left"/>
    </xf>
    <xf numFmtId="164" fontId="0" fillId="9" borderId="91" xfId="0" applyNumberFormat="1" applyFill="1" applyBorder="1"/>
    <xf numFmtId="164" fontId="0" fillId="9" borderId="37" xfId="0" applyNumberFormat="1" applyFill="1" applyBorder="1"/>
    <xf numFmtId="0" fontId="0" fillId="9" borderId="82" xfId="0" quotePrefix="1" applyFill="1" applyBorder="1" applyAlignment="1">
      <alignment horizontal="left"/>
    </xf>
    <xf numFmtId="164" fontId="0" fillId="3" borderId="42" xfId="0" applyNumberFormat="1" applyFill="1" applyBorder="1"/>
    <xf numFmtId="0" fontId="0" fillId="3" borderId="43" xfId="0" applyFill="1" applyBorder="1"/>
    <xf numFmtId="164" fontId="0" fillId="0" borderId="99" xfId="0" applyNumberFormat="1" applyBorder="1"/>
    <xf numFmtId="164" fontId="0" fillId="4" borderId="37" xfId="0" applyNumberFormat="1" applyFill="1" applyBorder="1"/>
    <xf numFmtId="164" fontId="0" fillId="4" borderId="41" xfId="0" applyNumberFormat="1" applyFill="1" applyBorder="1"/>
    <xf numFmtId="0" fontId="0" fillId="4" borderId="79" xfId="0" applyFill="1" applyBorder="1"/>
    <xf numFmtId="0" fontId="0" fillId="4" borderId="82" xfId="0" applyFill="1" applyBorder="1"/>
    <xf numFmtId="164" fontId="0" fillId="4" borderId="46" xfId="0" applyNumberFormat="1" applyFill="1" applyBorder="1"/>
    <xf numFmtId="0" fontId="0" fillId="4" borderId="89" xfId="0" applyFill="1" applyBorder="1"/>
    <xf numFmtId="164" fontId="0" fillId="5" borderId="47" xfId="0" applyNumberFormat="1" applyFill="1" applyBorder="1"/>
    <xf numFmtId="0" fontId="0" fillId="5" borderId="78" xfId="0" applyFill="1" applyBorder="1"/>
    <xf numFmtId="164" fontId="0" fillId="5" borderId="37" xfId="0" applyNumberFormat="1" applyFill="1" applyBorder="1"/>
    <xf numFmtId="0" fontId="0" fillId="5" borderId="82" xfId="0" applyFill="1" applyBorder="1"/>
    <xf numFmtId="164" fontId="0" fillId="6" borderId="41" xfId="0" applyNumberFormat="1" applyFill="1" applyBorder="1"/>
    <xf numFmtId="0" fontId="0" fillId="6" borderId="79" xfId="0" applyFill="1" applyBorder="1"/>
    <xf numFmtId="164" fontId="0" fillId="6" borderId="37" xfId="0" applyNumberFormat="1" applyFill="1" applyBorder="1"/>
    <xf numFmtId="0" fontId="0" fillId="6" borderId="82" xfId="0" applyFill="1" applyBorder="1"/>
    <xf numFmtId="164" fontId="0" fillId="6" borderId="49" xfId="0" applyNumberFormat="1" applyFill="1" applyBorder="1"/>
    <xf numFmtId="0" fontId="0" fillId="6" borderId="50" xfId="0" applyFill="1" applyBorder="1"/>
    <xf numFmtId="0" fontId="10" fillId="0" borderId="56" xfId="0" applyFont="1" applyBorder="1" applyAlignment="1">
      <alignment horizontal="center" vertical="center" wrapText="1"/>
    </xf>
    <xf numFmtId="0" fontId="0" fillId="0" borderId="56" xfId="0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58" xfId="0" applyFill="1" applyBorder="1" applyAlignment="1">
      <alignment horizontal="centerContinuous"/>
    </xf>
    <xf numFmtId="0" fontId="0" fillId="3" borderId="59" xfId="0" applyFill="1" applyBorder="1" applyAlignment="1">
      <alignment horizontal="centerContinuous"/>
    </xf>
    <xf numFmtId="0" fontId="0" fillId="0" borderId="30" xfId="0" applyBorder="1" applyAlignment="1">
      <alignment horizontal="left"/>
    </xf>
    <xf numFmtId="0" fontId="0" fillId="4" borderId="60" xfId="0" applyFill="1" applyBorder="1" applyAlignment="1">
      <alignment horizontal="centerContinuous"/>
    </xf>
    <xf numFmtId="0" fontId="0" fillId="4" borderId="61" xfId="0" applyFill="1" applyBorder="1" applyAlignment="1">
      <alignment horizontal="centerContinuous"/>
    </xf>
    <xf numFmtId="0" fontId="0" fillId="0" borderId="62" xfId="0" applyBorder="1"/>
    <xf numFmtId="0" fontId="0" fillId="5" borderId="60" xfId="0" applyFill="1" applyBorder="1" applyAlignment="1">
      <alignment horizontal="centerContinuous"/>
    </xf>
    <xf numFmtId="0" fontId="0" fillId="5" borderId="61" xfId="0" applyFill="1" applyBorder="1" applyAlignment="1">
      <alignment horizontal="centerContinuous"/>
    </xf>
    <xf numFmtId="0" fontId="0" fillId="6" borderId="64" xfId="0" applyFill="1" applyBorder="1" applyAlignment="1">
      <alignment horizontal="centerContinuous"/>
    </xf>
    <xf numFmtId="0" fontId="0" fillId="6" borderId="65" xfId="0" applyFill="1" applyBorder="1" applyAlignment="1">
      <alignment horizontal="centerContinuous"/>
    </xf>
    <xf numFmtId="0" fontId="0" fillId="0" borderId="66" xfId="0" applyBorder="1" applyAlignment="1">
      <alignment horizontal="left"/>
    </xf>
    <xf numFmtId="0" fontId="0" fillId="0" borderId="67" xfId="0" applyBorder="1" applyAlignment="1">
      <alignment horizontal="center"/>
    </xf>
    <xf numFmtId="0" fontId="0" fillId="0" borderId="67" xfId="0" applyBorder="1"/>
    <xf numFmtId="0" fontId="10" fillId="0" borderId="0" xfId="0" applyFont="1" applyAlignment="1">
      <alignment vertical="center" wrapText="1"/>
    </xf>
    <xf numFmtId="164" fontId="10" fillId="0" borderId="69" xfId="0" applyNumberFormat="1" applyFont="1" applyBorder="1" applyAlignment="1">
      <alignment vertical="center" wrapText="1"/>
    </xf>
    <xf numFmtId="164" fontId="10" fillId="0" borderId="70" xfId="0" applyNumberFormat="1" applyFont="1" applyBorder="1" applyAlignment="1">
      <alignment vertical="center" wrapText="1"/>
    </xf>
    <xf numFmtId="164" fontId="10" fillId="0" borderId="71" xfId="0" applyNumberFormat="1" applyFont="1" applyBorder="1" applyAlignment="1">
      <alignment vertical="center" wrapText="1"/>
    </xf>
    <xf numFmtId="164" fontId="10" fillId="0" borderId="72" xfId="0" applyNumberFormat="1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/>
    </xf>
    <xf numFmtId="16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2" fillId="0" borderId="0" xfId="0" quotePrefix="1" applyFont="1" applyAlignment="1">
      <alignment horizontal="center"/>
    </xf>
    <xf numFmtId="0" fontId="0" fillId="0" borderId="56" xfId="0" applyBorder="1"/>
    <xf numFmtId="0" fontId="0" fillId="0" borderId="108" xfId="0" applyBorder="1"/>
    <xf numFmtId="0" fontId="0" fillId="0" borderId="109" xfId="0" applyBorder="1"/>
    <xf numFmtId="0" fontId="0" fillId="0" borderId="1" xfId="0" applyBorder="1"/>
    <xf numFmtId="0" fontId="0" fillId="0" borderId="110" xfId="0" applyBorder="1"/>
    <xf numFmtId="0" fontId="12" fillId="0" borderId="0" xfId="0" applyFont="1" applyAlignment="1">
      <alignment horizontal="center"/>
    </xf>
    <xf numFmtId="0" fontId="17" fillId="2" borderId="8" xfId="0" applyFont="1" applyFill="1" applyBorder="1" applyAlignment="1">
      <alignment horizontal="centerContinuous" vertical="center"/>
    </xf>
    <xf numFmtId="0" fontId="17" fillId="2" borderId="9" xfId="0" applyFont="1" applyFill="1" applyBorder="1" applyAlignment="1">
      <alignment horizontal="centerContinuous" vertical="center"/>
    </xf>
    <xf numFmtId="0" fontId="17" fillId="2" borderId="10" xfId="0" applyFont="1" applyFill="1" applyBorder="1" applyAlignment="1">
      <alignment horizontal="centerContinuous" vertical="center"/>
    </xf>
    <xf numFmtId="0" fontId="17" fillId="2" borderId="11" xfId="0" applyFont="1" applyFill="1" applyBorder="1" applyAlignment="1">
      <alignment horizontal="centerContinuous" vertical="center"/>
    </xf>
    <xf numFmtId="0" fontId="17" fillId="2" borderId="12" xfId="1" applyNumberFormat="1" applyFont="1" applyFill="1" applyBorder="1" applyAlignment="1" applyProtection="1">
      <alignment horizontal="centerContinuous" vertical="center" wrapText="1"/>
      <protection locked="0"/>
    </xf>
    <xf numFmtId="0" fontId="17" fillId="2" borderId="11" xfId="1" quotePrefix="1" applyNumberFormat="1" applyFont="1" applyFill="1" applyBorder="1" applyAlignment="1" applyProtection="1">
      <alignment horizontal="centerContinuous" vertical="center" wrapText="1"/>
      <protection locked="0"/>
    </xf>
    <xf numFmtId="0" fontId="17" fillId="2" borderId="13" xfId="1" applyNumberFormat="1" applyFont="1" applyFill="1" applyBorder="1" applyAlignment="1" applyProtection="1">
      <alignment horizontal="center" vertical="center" wrapText="1"/>
      <protection locked="0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 applyProtection="1">
      <alignment horizontal="center" vertical="center"/>
      <protection locked="0"/>
    </xf>
    <xf numFmtId="0" fontId="17" fillId="2" borderId="16" xfId="0" applyFont="1" applyFill="1" applyBorder="1" applyAlignment="1" applyProtection="1">
      <alignment horizontal="center" vertical="center"/>
      <protection locked="0"/>
    </xf>
    <xf numFmtId="0" fontId="17" fillId="2" borderId="17" xfId="0" applyFont="1" applyFill="1" applyBorder="1" applyAlignment="1" applyProtection="1">
      <alignment horizontal="center" vertical="center"/>
      <protection locked="0"/>
    </xf>
    <xf numFmtId="0" fontId="17" fillId="2" borderId="18" xfId="1" applyNumberFormat="1" applyFont="1" applyFill="1" applyBorder="1" applyAlignment="1" applyProtection="1">
      <alignment horizontal="center" vertical="center" wrapText="1"/>
      <protection locked="0"/>
    </xf>
    <xf numFmtId="0" fontId="17" fillId="2" borderId="19" xfId="1" quotePrefix="1" applyNumberFormat="1" applyFont="1" applyFill="1" applyBorder="1" applyAlignment="1" applyProtection="1">
      <alignment horizontal="center" vertical="center" wrapText="1"/>
      <protection locked="0"/>
    </xf>
    <xf numFmtId="0" fontId="17" fillId="2" borderId="18" xfId="1" quotePrefix="1" applyNumberFormat="1" applyFont="1" applyFill="1" applyBorder="1" applyAlignment="1" applyProtection="1">
      <alignment horizontal="center" vertical="center" wrapText="1"/>
      <protection locked="0"/>
    </xf>
    <xf numFmtId="0" fontId="17" fillId="2" borderId="20" xfId="1" quotePrefix="1" applyNumberFormat="1" applyFont="1" applyFill="1" applyBorder="1" applyAlignment="1" applyProtection="1">
      <alignment horizontal="center" vertical="center" wrapText="1"/>
      <protection locked="0"/>
    </xf>
    <xf numFmtId="43" fontId="17" fillId="2" borderId="16" xfId="1" quotePrefix="1" applyFont="1" applyFill="1" applyBorder="1" applyAlignment="1" applyProtection="1">
      <alignment horizontal="center" vertical="center" wrapText="1"/>
      <protection locked="0"/>
    </xf>
    <xf numFmtId="0" fontId="17" fillId="2" borderId="16" xfId="1" quotePrefix="1" applyNumberFormat="1" applyFont="1" applyFill="1" applyBorder="1" applyAlignment="1" applyProtection="1">
      <alignment horizontal="center" vertical="center" wrapText="1"/>
      <protection locked="0"/>
    </xf>
    <xf numFmtId="43" fontId="17" fillId="2" borderId="17" xfId="1" quotePrefix="1" applyFont="1" applyFill="1" applyBorder="1" applyAlignment="1" applyProtection="1">
      <alignment horizontal="center" vertical="center" wrapText="1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13" fillId="0" borderId="97" xfId="0" applyFont="1" applyBorder="1" applyAlignment="1">
      <alignment horizontal="center"/>
    </xf>
    <xf numFmtId="0" fontId="13" fillId="0" borderId="82" xfId="0" applyFont="1" applyBorder="1" applyAlignment="1">
      <alignment horizontal="center"/>
    </xf>
    <xf numFmtId="0" fontId="13" fillId="0" borderId="79" xfId="0" applyFont="1" applyBorder="1" applyAlignment="1">
      <alignment horizontal="center"/>
    </xf>
    <xf numFmtId="0" fontId="13" fillId="9" borderId="61" xfId="0" applyFont="1" applyFill="1" applyBorder="1" applyAlignment="1">
      <alignment horizontal="center"/>
    </xf>
    <xf numFmtId="0" fontId="13" fillId="0" borderId="82" xfId="0" quotePrefix="1" applyFont="1" applyBorder="1" applyAlignment="1">
      <alignment horizontal="center"/>
    </xf>
    <xf numFmtId="0" fontId="13" fillId="0" borderId="79" xfId="0" quotePrefix="1" applyFont="1" applyBorder="1" applyAlignment="1">
      <alignment horizontal="center"/>
    </xf>
    <xf numFmtId="0" fontId="13" fillId="9" borderId="82" xfId="0" quotePrefix="1" applyFont="1" applyFill="1" applyBorder="1" applyAlignment="1">
      <alignment horizontal="center"/>
    </xf>
    <xf numFmtId="0" fontId="13" fillId="0" borderId="43" xfId="0" applyFont="1" applyBorder="1" applyAlignment="1">
      <alignment horizontal="center"/>
    </xf>
    <xf numFmtId="16" fontId="13" fillId="0" borderId="82" xfId="0" quotePrefix="1" applyNumberFormat="1" applyFont="1" applyBorder="1" applyAlignment="1">
      <alignment horizontal="center"/>
    </xf>
    <xf numFmtId="0" fontId="13" fillId="0" borderId="89" xfId="0" quotePrefix="1" applyFont="1" applyBorder="1" applyAlignment="1">
      <alignment horizontal="center"/>
    </xf>
    <xf numFmtId="0" fontId="13" fillId="0" borderId="78" xfId="0" quotePrefix="1" applyFont="1" applyBorder="1" applyAlignment="1">
      <alignment horizontal="center"/>
    </xf>
    <xf numFmtId="0" fontId="13" fillId="0" borderId="50" xfId="0" quotePrefix="1" applyFont="1" applyBorder="1" applyAlignment="1">
      <alignment horizontal="center"/>
    </xf>
    <xf numFmtId="0" fontId="17" fillId="0" borderId="56" xfId="0" applyFont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164" fontId="17" fillId="0" borderId="68" xfId="0" quotePrefix="1" applyNumberFormat="1" applyFont="1" applyBorder="1" applyAlignment="1">
      <alignment horizontal="centerContinuous"/>
    </xf>
    <xf numFmtId="164" fontId="17" fillId="0" borderId="1" xfId="0" quotePrefix="1" applyNumberFormat="1" applyFont="1" applyBorder="1" applyAlignment="1">
      <alignment horizontal="centerContinuous"/>
    </xf>
    <xf numFmtId="164" fontId="17" fillId="0" borderId="25" xfId="0" quotePrefix="1" applyNumberFormat="1" applyFont="1" applyBorder="1" applyAlignment="1">
      <alignment horizontal="center" vertical="center" wrapText="1"/>
    </xf>
    <xf numFmtId="164" fontId="17" fillId="0" borderId="69" xfId="0" applyNumberFormat="1" applyFont="1" applyBorder="1" applyAlignment="1">
      <alignment vertical="center" wrapText="1"/>
    </xf>
    <xf numFmtId="164" fontId="17" fillId="0" borderId="70" xfId="0" applyNumberFormat="1" applyFont="1" applyBorder="1" applyAlignment="1">
      <alignment vertical="center" wrapText="1"/>
    </xf>
    <xf numFmtId="164" fontId="17" fillId="0" borderId="71" xfId="0" applyNumberFormat="1" applyFont="1" applyBorder="1" applyAlignment="1">
      <alignment vertical="center" wrapText="1"/>
    </xf>
    <xf numFmtId="164" fontId="17" fillId="0" borderId="72" xfId="0" applyNumberFormat="1" applyFont="1" applyBorder="1" applyAlignment="1">
      <alignment vertical="center" wrapText="1"/>
    </xf>
    <xf numFmtId="164" fontId="0" fillId="3" borderId="87" xfId="0" applyNumberFormat="1" applyFill="1" applyBorder="1"/>
    <xf numFmtId="9" fontId="0" fillId="0" borderId="88" xfId="3" applyFont="1" applyBorder="1" applyAlignment="1">
      <alignment horizontal="center"/>
    </xf>
    <xf numFmtId="0" fontId="0" fillId="8" borderId="111" xfId="0" applyFill="1" applyBorder="1"/>
    <xf numFmtId="0" fontId="0" fillId="8" borderId="56" xfId="0" applyFill="1" applyBorder="1"/>
    <xf numFmtId="0" fontId="0" fillId="8" borderId="108" xfId="0" applyFill="1" applyBorder="1"/>
    <xf numFmtId="0" fontId="0" fillId="8" borderId="0" xfId="0" applyFill="1"/>
    <xf numFmtId="0" fontId="0" fillId="8" borderId="68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8" borderId="110" xfId="0" applyFill="1" applyBorder="1" applyAlignment="1">
      <alignment wrapText="1"/>
    </xf>
    <xf numFmtId="0" fontId="0" fillId="8" borderId="0" xfId="0" applyFill="1" applyAlignment="1">
      <alignment wrapText="1"/>
    </xf>
    <xf numFmtId="3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9" borderId="0" xfId="0" quotePrefix="1" applyNumberFormat="1" applyFill="1" applyAlignment="1">
      <alignment horizontal="center"/>
    </xf>
    <xf numFmtId="1" fontId="0" fillId="9" borderId="0" xfId="0" applyNumberFormat="1" applyFill="1" applyAlignment="1">
      <alignment horizontal="center"/>
    </xf>
    <xf numFmtId="0" fontId="0" fillId="0" borderId="9" xfId="0" applyBorder="1"/>
    <xf numFmtId="164" fontId="0" fillId="0" borderId="115" xfId="0" applyNumberFormat="1" applyBorder="1"/>
    <xf numFmtId="0" fontId="0" fillId="0" borderId="117" xfId="0" applyBorder="1" applyAlignment="1">
      <alignment horizontal="left"/>
    </xf>
    <xf numFmtId="165" fontId="0" fillId="0" borderId="118" xfId="1" applyNumberFormat="1" applyFont="1" applyBorder="1"/>
    <xf numFmtId="165" fontId="0" fillId="0" borderId="119" xfId="1" applyNumberFormat="1" applyFont="1" applyBorder="1"/>
    <xf numFmtId="165" fontId="0" fillId="0" borderId="120" xfId="1" applyNumberFormat="1" applyFont="1" applyBorder="1"/>
    <xf numFmtId="9" fontId="0" fillId="0" borderId="120" xfId="3" applyFont="1" applyBorder="1" applyAlignment="1">
      <alignment horizontal="center"/>
    </xf>
    <xf numFmtId="9" fontId="0" fillId="0" borderId="121" xfId="3" applyFont="1" applyBorder="1" applyAlignment="1">
      <alignment horizontal="center"/>
    </xf>
    <xf numFmtId="0" fontId="2" fillId="0" borderId="0" xfId="13"/>
    <xf numFmtId="0" fontId="3" fillId="0" borderId="0" xfId="14"/>
    <xf numFmtId="0" fontId="22" fillId="0" borderId="0" xfId="13" applyFont="1" applyAlignment="1">
      <alignment vertical="center"/>
    </xf>
    <xf numFmtId="0" fontId="2" fillId="0" borderId="1" xfId="13" applyBorder="1"/>
    <xf numFmtId="0" fontId="24" fillId="12" borderId="67" xfId="2" quotePrefix="1" applyNumberFormat="1" applyFont="1" applyFill="1" applyBorder="1" applyAlignment="1" applyProtection="1">
      <alignment vertical="center" wrapText="1"/>
      <protection locked="0"/>
    </xf>
    <xf numFmtId="0" fontId="24" fillId="12" borderId="123" xfId="2" quotePrefix="1" applyNumberFormat="1" applyFont="1" applyFill="1" applyBorder="1" applyAlignment="1" applyProtection="1">
      <alignment vertical="center" wrapText="1"/>
      <protection locked="0"/>
    </xf>
    <xf numFmtId="0" fontId="2" fillId="0" borderId="68" xfId="13" applyBorder="1"/>
    <xf numFmtId="0" fontId="25" fillId="13" borderId="122" xfId="2" quotePrefix="1" applyNumberFormat="1" applyFont="1" applyFill="1" applyBorder="1" applyAlignment="1" applyProtection="1">
      <alignment vertical="center" wrapText="1"/>
      <protection locked="0"/>
    </xf>
    <xf numFmtId="0" fontId="25" fillId="0" borderId="0" xfId="2" quotePrefix="1" applyNumberFormat="1" applyFont="1" applyFill="1" applyBorder="1" applyAlignment="1" applyProtection="1">
      <alignment horizontal="center" vertical="center" wrapText="1"/>
      <protection locked="0"/>
    </xf>
    <xf numFmtId="0" fontId="27" fillId="0" borderId="1" xfId="13" applyFont="1" applyBorder="1"/>
    <xf numFmtId="0" fontId="27" fillId="0" borderId="1" xfId="13" applyFont="1" applyBorder="1" applyAlignment="1">
      <alignment horizontal="left"/>
    </xf>
    <xf numFmtId="0" fontId="28" fillId="0" borderId="122" xfId="13" quotePrefix="1" applyFont="1" applyBorder="1" applyAlignment="1">
      <alignment horizontal="center" vertical="center"/>
    </xf>
    <xf numFmtId="0" fontId="25" fillId="0" borderId="114" xfId="13" applyFont="1" applyBorder="1" applyAlignment="1">
      <alignment horizontal="center" vertical="center" wrapText="1"/>
    </xf>
    <xf numFmtId="0" fontId="25" fillId="10" borderId="54" xfId="2" quotePrefix="1" applyNumberFormat="1" applyFont="1" applyFill="1" applyBorder="1" applyAlignment="1" applyProtection="1">
      <alignment horizontal="center" vertical="center" wrapText="1"/>
      <protection locked="0"/>
    </xf>
    <xf numFmtId="0" fontId="25" fillId="10" borderId="126" xfId="2" quotePrefix="1" applyNumberFormat="1" applyFont="1" applyFill="1" applyBorder="1" applyAlignment="1" applyProtection="1">
      <alignment horizontal="center" vertical="center" wrapText="1"/>
      <protection locked="0"/>
    </xf>
    <xf numFmtId="0" fontId="25" fillId="11" borderId="125" xfId="2" quotePrefix="1" applyNumberFormat="1" applyFont="1" applyFill="1" applyBorder="1" applyAlignment="1" applyProtection="1">
      <alignment horizontal="center" vertical="center" wrapText="1"/>
      <protection locked="0"/>
    </xf>
    <xf numFmtId="0" fontId="25" fillId="11" borderId="54" xfId="2" quotePrefix="1" applyNumberFormat="1" applyFont="1" applyFill="1" applyBorder="1" applyAlignment="1" applyProtection="1">
      <alignment horizontal="center" vertical="center" wrapText="1"/>
      <protection locked="0"/>
    </xf>
    <xf numFmtId="0" fontId="25" fillId="11" borderId="113" xfId="2" quotePrefix="1" applyNumberFormat="1" applyFont="1" applyFill="1" applyBorder="1" applyAlignment="1" applyProtection="1">
      <alignment horizontal="center" vertical="center" wrapText="1"/>
      <protection locked="0"/>
    </xf>
    <xf numFmtId="0" fontId="26" fillId="11" borderId="128" xfId="13" applyFont="1" applyFill="1" applyBorder="1" applyAlignment="1">
      <alignment horizontal="center" vertical="center" wrapText="1"/>
    </xf>
    <xf numFmtId="0" fontId="26" fillId="12" borderId="73" xfId="13" applyFont="1" applyFill="1" applyBorder="1" applyAlignment="1">
      <alignment horizontal="center" vertical="center" wrapText="1"/>
    </xf>
    <xf numFmtId="0" fontId="26" fillId="12" borderId="129" xfId="13" applyFont="1" applyFill="1" applyBorder="1" applyAlignment="1">
      <alignment horizontal="center" vertical="center" wrapText="1"/>
    </xf>
    <xf numFmtId="0" fontId="26" fillId="12" borderId="130" xfId="13" applyFont="1" applyFill="1" applyBorder="1" applyAlignment="1">
      <alignment horizontal="center" vertical="center" wrapText="1"/>
    </xf>
    <xf numFmtId="0" fontId="26" fillId="12" borderId="67" xfId="13" applyFont="1" applyFill="1" applyBorder="1" applyAlignment="1">
      <alignment horizontal="center" vertical="center" wrapText="1"/>
    </xf>
    <xf numFmtId="0" fontId="28" fillId="0" borderId="114" xfId="13" quotePrefix="1" applyFont="1" applyBorder="1" applyAlignment="1">
      <alignment horizontal="center" vertical="center"/>
    </xf>
    <xf numFmtId="0" fontId="26" fillId="13" borderId="122" xfId="13" applyFont="1" applyFill="1" applyBorder="1" applyAlignment="1">
      <alignment horizontal="center" vertical="center" wrapText="1"/>
    </xf>
    <xf numFmtId="165" fontId="2" fillId="7" borderId="132" xfId="13" applyNumberFormat="1" applyFill="1" applyBorder="1"/>
    <xf numFmtId="0" fontId="3" fillId="0" borderId="124" xfId="14" applyBorder="1" applyAlignment="1">
      <alignment horizontal="center"/>
    </xf>
    <xf numFmtId="0" fontId="3" fillId="0" borderId="0" xfId="14" applyAlignment="1">
      <alignment horizontal="center"/>
    </xf>
    <xf numFmtId="0" fontId="4" fillId="14" borderId="112" xfId="13" applyFont="1" applyFill="1" applyBorder="1" applyAlignment="1">
      <alignment horizontal="left"/>
    </xf>
    <xf numFmtId="0" fontId="2" fillId="0" borderId="133" xfId="13" applyBorder="1"/>
    <xf numFmtId="0" fontId="2" fillId="0" borderId="134" xfId="13" applyBorder="1"/>
    <xf numFmtId="0" fontId="2" fillId="3" borderId="87" xfId="13" applyFill="1" applyBorder="1" applyAlignment="1">
      <alignment horizontal="left"/>
    </xf>
    <xf numFmtId="165" fontId="0" fillId="0" borderId="135" xfId="2" applyNumberFormat="1" applyFont="1" applyFill="1" applyBorder="1" applyAlignment="1" applyProtection="1">
      <alignment horizontal="left"/>
    </xf>
    <xf numFmtId="0" fontId="2" fillId="0" borderId="48" xfId="13" applyBorder="1"/>
    <xf numFmtId="0" fontId="2" fillId="0" borderId="137" xfId="13" applyBorder="1"/>
    <xf numFmtId="0" fontId="2" fillId="11" borderId="136" xfId="13" applyFill="1" applyBorder="1"/>
    <xf numFmtId="0" fontId="29" fillId="11" borderId="48" xfId="13" applyFont="1" applyFill="1" applyBorder="1"/>
    <xf numFmtId="0" fontId="2" fillId="11" borderId="48" xfId="13" applyFill="1" applyBorder="1"/>
    <xf numFmtId="0" fontId="2" fillId="11" borderId="62" xfId="13" applyFill="1" applyBorder="1"/>
    <xf numFmtId="0" fontId="2" fillId="11" borderId="132" xfId="13" applyFill="1" applyBorder="1"/>
    <xf numFmtId="0" fontId="2" fillId="12" borderId="48" xfId="13" applyFill="1" applyBorder="1"/>
    <xf numFmtId="0" fontId="2" fillId="12" borderId="138" xfId="13" applyFill="1" applyBorder="1"/>
    <xf numFmtId="0" fontId="2" fillId="12" borderId="137" xfId="13" applyFill="1" applyBorder="1"/>
    <xf numFmtId="0" fontId="2" fillId="3" borderId="135" xfId="13" applyFill="1" applyBorder="1" applyAlignment="1">
      <alignment horizontal="left"/>
    </xf>
    <xf numFmtId="0" fontId="3" fillId="0" borderId="139" xfId="14" applyBorder="1" applyAlignment="1">
      <alignment horizontal="center"/>
    </xf>
    <xf numFmtId="165" fontId="3" fillId="0" borderId="112" xfId="14" applyNumberFormat="1" applyBorder="1" applyAlignment="1">
      <alignment horizontal="center" vertical="center"/>
    </xf>
    <xf numFmtId="0" fontId="3" fillId="0" borderId="109" xfId="14" applyBorder="1"/>
    <xf numFmtId="0" fontId="4" fillId="14" borderId="140" xfId="13" applyFont="1" applyFill="1" applyBorder="1" applyAlignment="1">
      <alignment horizontal="left"/>
    </xf>
    <xf numFmtId="0" fontId="2" fillId="0" borderId="141" xfId="13" applyBorder="1"/>
    <xf numFmtId="0" fontId="2" fillId="0" borderId="142" xfId="13" applyBorder="1"/>
    <xf numFmtId="0" fontId="2" fillId="0" borderId="143" xfId="13" applyBorder="1"/>
    <xf numFmtId="0" fontId="2" fillId="3" borderId="85" xfId="13" applyFill="1" applyBorder="1" applyAlignment="1">
      <alignment horizontal="left"/>
    </xf>
    <xf numFmtId="165" fontId="0" fillId="0" borderId="144" xfId="2" applyNumberFormat="1" applyFont="1" applyFill="1" applyBorder="1" applyAlignment="1" applyProtection="1">
      <alignment horizontal="left"/>
    </xf>
    <xf numFmtId="0" fontId="2" fillId="0" borderId="39" xfId="13" applyBorder="1"/>
    <xf numFmtId="0" fontId="2" fillId="0" borderId="145" xfId="13" applyBorder="1"/>
    <xf numFmtId="0" fontId="29" fillId="11" borderId="39" xfId="13" applyFont="1" applyFill="1" applyBorder="1"/>
    <xf numFmtId="0" fontId="2" fillId="11" borderId="39" xfId="13" applyFill="1" applyBorder="1"/>
    <xf numFmtId="0" fontId="2" fillId="11" borderId="61" xfId="13" applyFill="1" applyBorder="1"/>
    <xf numFmtId="0" fontId="2" fillId="7" borderId="132" xfId="13" applyFill="1" applyBorder="1"/>
    <xf numFmtId="0" fontId="2" fillId="12" borderId="39" xfId="13" applyFill="1" applyBorder="1"/>
    <xf numFmtId="0" fontId="2" fillId="12" borderId="60" xfId="13" applyFill="1" applyBorder="1"/>
    <xf numFmtId="0" fontId="2" fillId="12" borderId="145" xfId="13" applyFill="1" applyBorder="1"/>
    <xf numFmtId="0" fontId="2" fillId="3" borderId="144" xfId="13" applyFill="1" applyBorder="1" applyAlignment="1">
      <alignment horizontal="left"/>
    </xf>
    <xf numFmtId="0" fontId="3" fillId="0" borderId="112" xfId="14" applyBorder="1" applyAlignment="1">
      <alignment horizontal="center"/>
    </xf>
    <xf numFmtId="0" fontId="4" fillId="14" borderId="146" xfId="13" applyFont="1" applyFill="1" applyBorder="1" applyAlignment="1">
      <alignment horizontal="left"/>
    </xf>
    <xf numFmtId="0" fontId="2" fillId="0" borderId="147" xfId="13" applyBorder="1"/>
    <xf numFmtId="0" fontId="2" fillId="0" borderId="148" xfId="13" applyBorder="1"/>
    <xf numFmtId="0" fontId="2" fillId="0" borderId="149" xfId="13" applyBorder="1"/>
    <xf numFmtId="0" fontId="0" fillId="0" borderId="142" xfId="13" applyFont="1" applyBorder="1"/>
    <xf numFmtId="0" fontId="2" fillId="3" borderId="85" xfId="13" quotePrefix="1" applyFill="1" applyBorder="1" applyAlignment="1">
      <alignment horizontal="left"/>
    </xf>
    <xf numFmtId="165" fontId="0" fillId="0" borderId="144" xfId="2" quotePrefix="1" applyNumberFormat="1" applyFont="1" applyFill="1" applyBorder="1" applyAlignment="1" applyProtection="1">
      <alignment horizontal="left"/>
    </xf>
    <xf numFmtId="0" fontId="2" fillId="3" borderId="144" xfId="13" quotePrefix="1" applyFill="1" applyBorder="1" applyAlignment="1">
      <alignment horizontal="left"/>
    </xf>
    <xf numFmtId="2" fontId="2" fillId="3" borderId="85" xfId="13" applyNumberFormat="1" applyFill="1" applyBorder="1" applyAlignment="1">
      <alignment horizontal="left"/>
    </xf>
    <xf numFmtId="2" fontId="2" fillId="3" borderId="144" xfId="13" applyNumberFormat="1" applyFill="1" applyBorder="1" applyAlignment="1">
      <alignment horizontal="left"/>
    </xf>
    <xf numFmtId="0" fontId="2" fillId="3" borderId="150" xfId="13" quotePrefix="1" applyFill="1" applyBorder="1" applyAlignment="1">
      <alignment horizontal="left"/>
    </xf>
    <xf numFmtId="165" fontId="0" fillId="0" borderId="151" xfId="2" quotePrefix="1" applyNumberFormat="1" applyFont="1" applyFill="1" applyBorder="1" applyAlignment="1" applyProtection="1">
      <alignment horizontal="left"/>
    </xf>
    <xf numFmtId="0" fontId="2" fillId="12" borderId="152" xfId="13" applyFill="1" applyBorder="1"/>
    <xf numFmtId="0" fontId="2" fillId="12" borderId="154" xfId="13" applyFill="1" applyBorder="1"/>
    <xf numFmtId="0" fontId="2" fillId="12" borderId="153" xfId="13" applyFill="1" applyBorder="1"/>
    <xf numFmtId="0" fontId="2" fillId="3" borderId="151" xfId="13" quotePrefix="1" applyFill="1" applyBorder="1" applyAlignment="1">
      <alignment horizontal="left"/>
    </xf>
    <xf numFmtId="165" fontId="0" fillId="0" borderId="135" xfId="2" quotePrefix="1" applyNumberFormat="1" applyFont="1" applyFill="1" applyBorder="1" applyAlignment="1" applyProtection="1">
      <alignment horizontal="left"/>
    </xf>
    <xf numFmtId="0" fontId="2" fillId="7" borderId="136" xfId="13" applyFill="1" applyBorder="1"/>
    <xf numFmtId="0" fontId="2" fillId="3" borderId="135" xfId="13" quotePrefix="1" applyFill="1" applyBorder="1" applyAlignment="1">
      <alignment horizontal="left"/>
    </xf>
    <xf numFmtId="0" fontId="0" fillId="3" borderId="85" xfId="13" applyFont="1" applyFill="1" applyBorder="1" applyAlignment="1">
      <alignment horizontal="left"/>
    </xf>
    <xf numFmtId="0" fontId="2" fillId="0" borderId="141" xfId="13" quotePrefix="1" applyBorder="1" applyAlignment="1">
      <alignment horizontal="left"/>
    </xf>
    <xf numFmtId="0" fontId="2" fillId="3" borderId="155" xfId="13" applyFill="1" applyBorder="1" applyAlignment="1">
      <alignment horizontal="left"/>
    </xf>
    <xf numFmtId="165" fontId="0" fillId="0" borderId="156" xfId="2" applyNumberFormat="1" applyFont="1" applyFill="1" applyBorder="1" applyAlignment="1" applyProtection="1">
      <alignment horizontal="left"/>
    </xf>
    <xf numFmtId="0" fontId="2" fillId="0" borderId="54" xfId="13" applyBorder="1"/>
    <xf numFmtId="0" fontId="2" fillId="0" borderId="126" xfId="13" applyBorder="1"/>
    <xf numFmtId="0" fontId="2" fillId="11" borderId="125" xfId="13" applyFill="1" applyBorder="1"/>
    <xf numFmtId="0" fontId="29" fillId="11" borderId="54" xfId="13" applyFont="1" applyFill="1" applyBorder="1"/>
    <xf numFmtId="0" fontId="2" fillId="11" borderId="54" xfId="13" applyFill="1" applyBorder="1"/>
    <xf numFmtId="0" fontId="2" fillId="11" borderId="65" xfId="13" applyFill="1" applyBorder="1"/>
    <xf numFmtId="0" fontId="2" fillId="7" borderId="125" xfId="13" applyFill="1" applyBorder="1"/>
    <xf numFmtId="0" fontId="2" fillId="12" borderId="54" xfId="13" applyFill="1" applyBorder="1"/>
    <xf numFmtId="0" fontId="2" fillId="12" borderId="64" xfId="13" applyFill="1" applyBorder="1"/>
    <xf numFmtId="0" fontId="2" fillId="12" borderId="126" xfId="13" applyFill="1" applyBorder="1"/>
    <xf numFmtId="0" fontId="2" fillId="3" borderId="156" xfId="13" applyFill="1" applyBorder="1" applyAlignment="1">
      <alignment horizontal="left"/>
    </xf>
    <xf numFmtId="0" fontId="3" fillId="0" borderId="127" xfId="14" applyBorder="1" applyAlignment="1">
      <alignment horizontal="center"/>
    </xf>
    <xf numFmtId="0" fontId="3" fillId="0" borderId="68" xfId="14" applyBorder="1" applyAlignment="1">
      <alignment horizontal="center"/>
    </xf>
    <xf numFmtId="0" fontId="3" fillId="0" borderId="1" xfId="14" applyBorder="1"/>
    <xf numFmtId="0" fontId="3" fillId="0" borderId="110" xfId="14" applyBorder="1"/>
    <xf numFmtId="0" fontId="2" fillId="4" borderId="87" xfId="13" applyFill="1" applyBorder="1" applyAlignment="1">
      <alignment horizontal="left"/>
    </xf>
    <xf numFmtId="0" fontId="2" fillId="4" borderId="135" xfId="13" applyFill="1" applyBorder="1" applyAlignment="1">
      <alignment horizontal="left"/>
    </xf>
    <xf numFmtId="0" fontId="2" fillId="4" borderId="85" xfId="13" quotePrefix="1" applyFill="1" applyBorder="1" applyAlignment="1">
      <alignment horizontal="left"/>
    </xf>
    <xf numFmtId="0" fontId="2" fillId="4" borderId="144" xfId="13" quotePrefix="1" applyFill="1" applyBorder="1" applyAlignment="1">
      <alignment horizontal="left"/>
    </xf>
    <xf numFmtId="0" fontId="2" fillId="4" borderId="85" xfId="13" applyFill="1" applyBorder="1" applyAlignment="1">
      <alignment horizontal="left"/>
    </xf>
    <xf numFmtId="0" fontId="2" fillId="4" borderId="144" xfId="13" applyFill="1" applyBorder="1" applyAlignment="1">
      <alignment horizontal="left"/>
    </xf>
    <xf numFmtId="0" fontId="3" fillId="15" borderId="139" xfId="14" applyFill="1" applyBorder="1" applyAlignment="1">
      <alignment horizontal="center"/>
    </xf>
    <xf numFmtId="0" fontId="2" fillId="5" borderId="87" xfId="13" applyFill="1" applyBorder="1" applyAlignment="1">
      <alignment horizontal="left"/>
    </xf>
    <xf numFmtId="0" fontId="2" fillId="5" borderId="144" xfId="13" applyFill="1" applyBorder="1" applyAlignment="1">
      <alignment horizontal="left"/>
    </xf>
    <xf numFmtId="0" fontId="2" fillId="5" borderId="85" xfId="13" applyFill="1" applyBorder="1" applyAlignment="1">
      <alignment horizontal="left"/>
    </xf>
    <xf numFmtId="0" fontId="2" fillId="5" borderId="155" xfId="13" applyFill="1" applyBorder="1" applyAlignment="1">
      <alignment horizontal="left"/>
    </xf>
    <xf numFmtId="0" fontId="2" fillId="5" borderId="151" xfId="13" applyFill="1" applyBorder="1" applyAlignment="1">
      <alignment horizontal="left"/>
    </xf>
    <xf numFmtId="0" fontId="2" fillId="16" borderId="87" xfId="13" applyFill="1" applyBorder="1" applyAlignment="1">
      <alignment horizontal="left"/>
    </xf>
    <xf numFmtId="0" fontId="2" fillId="16" borderId="131" xfId="13" applyFill="1" applyBorder="1" applyAlignment="1">
      <alignment horizontal="left"/>
    </xf>
    <xf numFmtId="0" fontId="2" fillId="16" borderId="85" xfId="13" applyFill="1" applyBorder="1" applyAlignment="1">
      <alignment horizontal="left"/>
    </xf>
    <xf numFmtId="0" fontId="2" fillId="16" borderId="144" xfId="13" applyFill="1" applyBorder="1" applyAlignment="1">
      <alignment horizontal="left"/>
    </xf>
    <xf numFmtId="0" fontId="2" fillId="0" borderId="133" xfId="13" quotePrefix="1" applyBorder="1" applyAlignment="1">
      <alignment horizontal="left"/>
    </xf>
    <xf numFmtId="0" fontId="2" fillId="16" borderId="85" xfId="13" quotePrefix="1" applyFill="1" applyBorder="1" applyAlignment="1">
      <alignment horizontal="left"/>
    </xf>
    <xf numFmtId="0" fontId="2" fillId="16" borderId="144" xfId="13" quotePrefix="1" applyFill="1" applyBorder="1" applyAlignment="1">
      <alignment horizontal="left"/>
    </xf>
    <xf numFmtId="0" fontId="4" fillId="14" borderId="68" xfId="13" applyFont="1" applyFill="1" applyBorder="1" applyAlignment="1">
      <alignment horizontal="left"/>
    </xf>
    <xf numFmtId="0" fontId="2" fillId="0" borderId="157" xfId="13" quotePrefix="1" applyBorder="1" applyAlignment="1">
      <alignment horizontal="left"/>
    </xf>
    <xf numFmtId="0" fontId="2" fillId="0" borderId="158" xfId="13" applyBorder="1"/>
    <xf numFmtId="0" fontId="2" fillId="16" borderId="155" xfId="13" applyFill="1" applyBorder="1" applyAlignment="1">
      <alignment horizontal="left"/>
    </xf>
    <xf numFmtId="0" fontId="2" fillId="16" borderId="156" xfId="13" applyFill="1" applyBorder="1" applyAlignment="1">
      <alignment horizontal="left"/>
    </xf>
    <xf numFmtId="0" fontId="2" fillId="0" borderId="108" xfId="13" applyBorder="1"/>
    <xf numFmtId="165" fontId="30" fillId="14" borderId="114" xfId="2" applyNumberFormat="1" applyFont="1" applyFill="1" applyBorder="1" applyProtection="1"/>
    <xf numFmtId="0" fontId="2" fillId="0" borderId="128" xfId="13" applyBorder="1"/>
    <xf numFmtId="0" fontId="2" fillId="0" borderId="73" xfId="13" applyBorder="1"/>
    <xf numFmtId="0" fontId="2" fillId="0" borderId="67" xfId="13" applyBorder="1"/>
    <xf numFmtId="0" fontId="29" fillId="0" borderId="73" xfId="13" applyFont="1" applyBorder="1"/>
    <xf numFmtId="165" fontId="2" fillId="7" borderId="128" xfId="13" applyNumberFormat="1" applyFill="1" applyBorder="1"/>
    <xf numFmtId="165" fontId="2" fillId="11" borderId="128" xfId="13" applyNumberFormat="1" applyFill="1" applyBorder="1"/>
    <xf numFmtId="165" fontId="2" fillId="12" borderId="73" xfId="13" applyNumberFormat="1" applyFill="1" applyBorder="1"/>
    <xf numFmtId="0" fontId="2" fillId="12" borderId="73" xfId="13" applyFill="1" applyBorder="1"/>
    <xf numFmtId="0" fontId="2" fillId="12" borderId="129" xfId="13" applyFill="1" applyBorder="1"/>
    <xf numFmtId="0" fontId="2" fillId="12" borderId="130" xfId="13" applyFill="1" applyBorder="1"/>
    <xf numFmtId="0" fontId="2" fillId="0" borderId="111" xfId="13" applyBorder="1"/>
    <xf numFmtId="0" fontId="31" fillId="0" borderId="0" xfId="13" applyFont="1" applyAlignment="1">
      <alignment horizontal="right" vertical="top" wrapText="1" indent="1"/>
    </xf>
    <xf numFmtId="0" fontId="2" fillId="0" borderId="0" xfId="13" applyAlignment="1">
      <alignment vertical="top" wrapText="1"/>
    </xf>
    <xf numFmtId="166" fontId="2" fillId="0" borderId="122" xfId="13" applyNumberFormat="1" applyBorder="1" applyAlignment="1">
      <alignment horizontal="right" vertical="center" wrapText="1"/>
    </xf>
    <xf numFmtId="166" fontId="2" fillId="0" borderId="67" xfId="13" applyNumberFormat="1" applyBorder="1" applyAlignment="1">
      <alignment horizontal="right" vertical="center" wrapText="1"/>
    </xf>
    <xf numFmtId="166" fontId="2" fillId="0" borderId="123" xfId="13" applyNumberFormat="1" applyBorder="1" applyAlignment="1">
      <alignment horizontal="right" vertical="center" wrapText="1"/>
    </xf>
    <xf numFmtId="166" fontId="32" fillId="0" borderId="114" xfId="13" applyNumberFormat="1" applyFont="1" applyBorder="1" applyAlignment="1">
      <alignment horizontal="right" vertical="center" wrapText="1"/>
    </xf>
    <xf numFmtId="166" fontId="2" fillId="0" borderId="0" xfId="13" applyNumberFormat="1" applyAlignment="1">
      <alignment horizontal="right" vertical="center" wrapText="1"/>
    </xf>
    <xf numFmtId="0" fontId="2" fillId="3" borderId="114" xfId="13" applyFill="1" applyBorder="1" applyAlignment="1">
      <alignment horizontal="right"/>
    </xf>
    <xf numFmtId="0" fontId="2" fillId="3" borderId="114" xfId="13" applyFill="1" applyBorder="1" applyAlignment="1">
      <alignment horizontal="center"/>
    </xf>
    <xf numFmtId="0" fontId="2" fillId="0" borderId="0" xfId="13" applyAlignment="1">
      <alignment horizontal="center"/>
    </xf>
    <xf numFmtId="166" fontId="2" fillId="0" borderId="114" xfId="13" applyNumberFormat="1" applyBorder="1" applyAlignment="1">
      <alignment horizontal="right" vertical="center" wrapText="1"/>
    </xf>
    <xf numFmtId="0" fontId="2" fillId="4" borderId="114" xfId="13" applyFill="1" applyBorder="1" applyAlignment="1">
      <alignment horizontal="right"/>
    </xf>
    <xf numFmtId="0" fontId="2" fillId="4" borderId="114" xfId="13" applyFill="1" applyBorder="1" applyAlignment="1">
      <alignment horizontal="center"/>
    </xf>
    <xf numFmtId="166" fontId="2" fillId="0" borderId="0" xfId="13" applyNumberFormat="1" applyAlignment="1">
      <alignment horizontal="center" vertical="center" wrapText="1"/>
    </xf>
    <xf numFmtId="0" fontId="2" fillId="5" borderId="124" xfId="13" applyFill="1" applyBorder="1" applyAlignment="1">
      <alignment horizontal="right"/>
    </xf>
    <xf numFmtId="0" fontId="2" fillId="5" borderId="124" xfId="13" applyFill="1" applyBorder="1" applyAlignment="1">
      <alignment horizontal="center"/>
    </xf>
    <xf numFmtId="166" fontId="2" fillId="0" borderId="56" xfId="13" applyNumberFormat="1" applyBorder="1" applyAlignment="1">
      <alignment horizontal="right" vertical="center" wrapText="1"/>
    </xf>
    <xf numFmtId="166" fontId="2" fillId="0" borderId="108" xfId="13" applyNumberFormat="1" applyBorder="1" applyAlignment="1">
      <alignment horizontal="right" vertical="center" wrapText="1"/>
    </xf>
    <xf numFmtId="0" fontId="31" fillId="0" borderId="112" xfId="13" applyFont="1" applyBorder="1" applyAlignment="1">
      <alignment horizontal="right" vertical="top" wrapText="1" indent="1"/>
    </xf>
    <xf numFmtId="0" fontId="2" fillId="16" borderId="114" xfId="13" applyFill="1" applyBorder="1" applyAlignment="1">
      <alignment horizontal="right"/>
    </xf>
    <xf numFmtId="0" fontId="2" fillId="16" borderId="114" xfId="13" applyFill="1" applyBorder="1" applyAlignment="1">
      <alignment horizontal="center"/>
    </xf>
    <xf numFmtId="0" fontId="31" fillId="0" borderId="114" xfId="13" applyFont="1" applyBorder="1" applyAlignment="1">
      <alignment horizontal="right" vertical="top" wrapText="1" indent="1"/>
    </xf>
    <xf numFmtId="0" fontId="33" fillId="2" borderId="28" xfId="1" quotePrefix="1" applyNumberFormat="1" applyFont="1" applyFill="1" applyBorder="1" applyAlignment="1" applyProtection="1">
      <alignment horizontal="center" vertical="center" wrapText="1"/>
      <protection locked="0"/>
    </xf>
    <xf numFmtId="164" fontId="21" fillId="0" borderId="103" xfId="1" applyNumberFormat="1" applyFont="1" applyBorder="1"/>
    <xf numFmtId="164" fontId="21" fillId="0" borderId="101" xfId="1" applyNumberFormat="1" applyFont="1" applyBorder="1"/>
    <xf numFmtId="14" fontId="0" fillId="0" borderId="0" xfId="0" applyNumberFormat="1"/>
    <xf numFmtId="0" fontId="0" fillId="12" borderId="0" xfId="0" applyFill="1"/>
    <xf numFmtId="0" fontId="0" fillId="12" borderId="56" xfId="0" applyFill="1" applyBorder="1"/>
    <xf numFmtId="0" fontId="0" fillId="12" borderId="1" xfId="0" applyFill="1" applyBorder="1" applyAlignment="1">
      <alignment wrapText="1"/>
    </xf>
    <xf numFmtId="3" fontId="0" fillId="12" borderId="0" xfId="0" applyNumberFormat="1" applyFill="1"/>
    <xf numFmtId="0" fontId="0" fillId="12" borderId="114" xfId="0" applyFill="1" applyBorder="1"/>
    <xf numFmtId="164" fontId="0" fillId="0" borderId="101" xfId="1" applyNumberFormat="1" applyFont="1" applyFill="1" applyBorder="1"/>
    <xf numFmtId="0" fontId="23" fillId="0" borderId="0" xfId="13" applyFont="1" applyAlignment="1">
      <alignment horizontal="center" vertical="center" wrapText="1"/>
    </xf>
    <xf numFmtId="164" fontId="0" fillId="0" borderId="103" xfId="1" applyNumberFormat="1" applyFont="1" applyFill="1" applyBorder="1"/>
    <xf numFmtId="164" fontId="0" fillId="0" borderId="104" xfId="1" applyNumberFormat="1" applyFont="1" applyFill="1" applyBorder="1"/>
    <xf numFmtId="0" fontId="0" fillId="0" borderId="40" xfId="0" applyBorder="1"/>
    <xf numFmtId="164" fontId="0" fillId="0" borderId="0" xfId="0" applyNumberFormat="1"/>
    <xf numFmtId="0" fontId="11" fillId="2" borderId="1" xfId="2" applyNumberFormat="1" applyFont="1" applyFill="1" applyBorder="1" applyAlignment="1" applyProtection="1">
      <alignment horizontal="centerContinuous" vertical="center" wrapText="1"/>
      <protection locked="0"/>
    </xf>
    <xf numFmtId="164" fontId="0" fillId="0" borderId="101" xfId="0" applyNumberFormat="1" applyBorder="1"/>
    <xf numFmtId="164" fontId="0" fillId="9" borderId="101" xfId="0" applyNumberFormat="1" applyFill="1" applyBorder="1"/>
    <xf numFmtId="164" fontId="0" fillId="0" borderId="102" xfId="0" applyNumberFormat="1" applyBorder="1"/>
    <xf numFmtId="165" fontId="0" fillId="0" borderId="159" xfId="1" applyNumberFormat="1" applyFont="1" applyBorder="1"/>
    <xf numFmtId="165" fontId="0" fillId="0" borderId="160" xfId="1" applyNumberFormat="1" applyFont="1" applyBorder="1"/>
    <xf numFmtId="165" fontId="0" fillId="0" borderId="161" xfId="1" applyNumberFormat="1" applyFont="1" applyBorder="1"/>
    <xf numFmtId="164" fontId="10" fillId="0" borderId="162" xfId="0" applyNumberFormat="1" applyFont="1" applyBorder="1" applyAlignment="1">
      <alignment vertical="center" wrapText="1"/>
    </xf>
    <xf numFmtId="0" fontId="10" fillId="0" borderId="0" xfId="0" applyFont="1" applyAlignment="1" applyProtection="1">
      <alignment vertical="center" wrapText="1"/>
      <protection locked="0"/>
    </xf>
    <xf numFmtId="164" fontId="17" fillId="0" borderId="0" xfId="0" applyNumberFormat="1" applyFont="1" applyAlignment="1">
      <alignment vertical="center" wrapText="1"/>
    </xf>
    <xf numFmtId="43" fontId="17" fillId="2" borderId="21" xfId="1" quotePrefix="1" applyFont="1" applyFill="1" applyBorder="1" applyAlignment="1" applyProtection="1">
      <alignment horizontal="center" vertical="center" wrapText="1"/>
      <protection locked="0"/>
    </xf>
    <xf numFmtId="9" fontId="0" fillId="0" borderId="163" xfId="3" applyFont="1" applyBorder="1" applyAlignment="1">
      <alignment horizontal="center"/>
    </xf>
    <xf numFmtId="9" fontId="0" fillId="0" borderId="164" xfId="3" applyFont="1" applyBorder="1" applyAlignment="1">
      <alignment horizontal="center"/>
    </xf>
    <xf numFmtId="9" fontId="0" fillId="9" borderId="164" xfId="3" applyFont="1" applyFill="1" applyBorder="1" applyAlignment="1">
      <alignment horizontal="center"/>
    </xf>
    <xf numFmtId="165" fontId="0" fillId="0" borderId="123" xfId="1" applyNumberFormat="1" applyFont="1" applyBorder="1"/>
    <xf numFmtId="165" fontId="3" fillId="0" borderId="139" xfId="14" applyNumberFormat="1" applyBorder="1" applyAlignment="1">
      <alignment horizontal="center"/>
    </xf>
    <xf numFmtId="1" fontId="2" fillId="0" borderId="39" xfId="13" applyNumberFormat="1" applyBorder="1"/>
    <xf numFmtId="1" fontId="2" fillId="0" borderId="145" xfId="13" applyNumberFormat="1" applyBorder="1"/>
    <xf numFmtId="1" fontId="2" fillId="11" borderId="132" xfId="13" applyNumberFormat="1" applyFill="1" applyBorder="1"/>
    <xf numFmtId="1" fontId="29" fillId="11" borderId="39" xfId="13" applyNumberFormat="1" applyFont="1" applyFill="1" applyBorder="1"/>
    <xf numFmtId="1" fontId="2" fillId="11" borderId="39" xfId="13" applyNumberFormat="1" applyFill="1" applyBorder="1"/>
    <xf numFmtId="1" fontId="2" fillId="11" borderId="61" xfId="13" applyNumberFormat="1" applyFill="1" applyBorder="1"/>
    <xf numFmtId="1" fontId="2" fillId="7" borderId="132" xfId="13" applyNumberFormat="1" applyFill="1" applyBorder="1"/>
    <xf numFmtId="1" fontId="2" fillId="12" borderId="39" xfId="13" applyNumberFormat="1" applyFill="1" applyBorder="1"/>
    <xf numFmtId="1" fontId="3" fillId="0" borderId="139" xfId="14" applyNumberFormat="1" applyBorder="1" applyAlignment="1">
      <alignment horizontal="center"/>
    </xf>
    <xf numFmtId="1" fontId="3" fillId="0" borderId="0" xfId="14" applyNumberFormat="1" applyAlignment="1">
      <alignment horizontal="center"/>
    </xf>
    <xf numFmtId="1" fontId="3" fillId="0" borderId="112" xfId="14" applyNumberFormat="1" applyBorder="1" applyAlignment="1">
      <alignment horizontal="center"/>
    </xf>
    <xf numFmtId="1" fontId="3" fillId="0" borderId="0" xfId="14" applyNumberFormat="1"/>
    <xf numFmtId="1" fontId="3" fillId="0" borderId="109" xfId="14" applyNumberFormat="1" applyBorder="1"/>
    <xf numFmtId="0" fontId="2" fillId="8" borderId="0" xfId="13" applyFill="1"/>
    <xf numFmtId="0" fontId="36" fillId="0" borderId="111" xfId="0" applyFont="1" applyBorder="1" applyAlignment="1">
      <alignment horizontal="center" vertical="center" wrapText="1"/>
    </xf>
    <xf numFmtId="0" fontId="37" fillId="0" borderId="56" xfId="0" applyFont="1" applyBorder="1" applyAlignment="1">
      <alignment horizontal="left" vertical="center" wrapText="1"/>
    </xf>
    <xf numFmtId="0" fontId="38" fillId="0" borderId="56" xfId="0" applyFont="1" applyBorder="1"/>
    <xf numFmtId="0" fontId="38" fillId="0" borderId="108" xfId="0" applyFont="1" applyBorder="1"/>
    <xf numFmtId="0" fontId="39" fillId="0" borderId="112" xfId="0" applyFont="1" applyBorder="1" applyAlignment="1">
      <alignment horizontal="right"/>
    </xf>
    <xf numFmtId="0" fontId="39" fillId="0" borderId="0" xfId="0" applyFont="1"/>
    <xf numFmtId="0" fontId="39" fillId="0" borderId="0" xfId="0" quotePrefix="1" applyFont="1" applyAlignment="1">
      <alignment horizontal="center"/>
    </xf>
    <xf numFmtId="9" fontId="39" fillId="0" borderId="0" xfId="4" applyFont="1" applyBorder="1" applyAlignment="1">
      <alignment horizontal="center"/>
    </xf>
    <xf numFmtId="0" fontId="38" fillId="0" borderId="0" xfId="0" applyFont="1"/>
    <xf numFmtId="0" fontId="38" fillId="0" borderId="109" xfId="0" applyFont="1" applyBorder="1"/>
    <xf numFmtId="0" fontId="39" fillId="0" borderId="0" xfId="0" quotePrefix="1" applyFont="1" applyAlignment="1">
      <alignment horizontal="left"/>
    </xf>
    <xf numFmtId="164" fontId="39" fillId="0" borderId="0" xfId="0" quotePrefix="1" applyNumberFormat="1" applyFont="1" applyAlignment="1">
      <alignment horizontal="left"/>
    </xf>
    <xf numFmtId="0" fontId="40" fillId="0" borderId="0" xfId="0" quotePrefix="1" applyFont="1" applyAlignment="1">
      <alignment horizontal="left"/>
    </xf>
    <xf numFmtId="0" fontId="39" fillId="0" borderId="68" xfId="0" quotePrefix="1" applyFont="1" applyBorder="1" applyAlignment="1">
      <alignment horizontal="right"/>
    </xf>
    <xf numFmtId="164" fontId="39" fillId="0" borderId="1" xfId="0" quotePrefix="1" applyNumberFormat="1" applyFont="1" applyBorder="1" applyAlignment="1">
      <alignment horizontal="left"/>
    </xf>
    <xf numFmtId="0" fontId="39" fillId="0" borderId="1" xfId="0" applyFont="1" applyBorder="1" applyAlignment="1">
      <alignment horizontal="center"/>
    </xf>
    <xf numFmtId="0" fontId="39" fillId="0" borderId="1" xfId="0" quotePrefix="1" applyFont="1" applyBorder="1" applyAlignment="1">
      <alignment horizontal="center"/>
    </xf>
    <xf numFmtId="0" fontId="39" fillId="0" borderId="1" xfId="0" applyFont="1" applyBorder="1"/>
    <xf numFmtId="0" fontId="38" fillId="0" borderId="1" xfId="0" applyFont="1" applyBorder="1"/>
    <xf numFmtId="0" fontId="38" fillId="0" borderId="110" xfId="0" applyFont="1" applyBorder="1"/>
    <xf numFmtId="0" fontId="0" fillId="3" borderId="165" xfId="0" applyFill="1" applyBorder="1"/>
    <xf numFmtId="0" fontId="13" fillId="0" borderId="165" xfId="0" applyFont="1" applyBorder="1" applyAlignment="1">
      <alignment horizontal="center"/>
    </xf>
    <xf numFmtId="164" fontId="0" fillId="3" borderId="85" xfId="0" applyNumberFormat="1" applyFill="1" applyBorder="1"/>
    <xf numFmtId="0" fontId="0" fillId="3" borderId="61" xfId="0" quotePrefix="1" applyFill="1" applyBorder="1" applyAlignment="1">
      <alignment horizontal="left"/>
    </xf>
    <xf numFmtId="0" fontId="13" fillId="0" borderId="61" xfId="0" quotePrefix="1" applyFont="1" applyBorder="1" applyAlignment="1">
      <alignment horizontal="center"/>
    </xf>
    <xf numFmtId="9" fontId="0" fillId="0" borderId="86" xfId="3" applyFont="1" applyBorder="1" applyAlignment="1">
      <alignment horizontal="center"/>
    </xf>
    <xf numFmtId="164" fontId="0" fillId="0" borderId="167" xfId="1" applyNumberFormat="1" applyFont="1" applyBorder="1"/>
    <xf numFmtId="164" fontId="0" fillId="0" borderId="166" xfId="1" applyNumberFormat="1" applyFont="1" applyBorder="1"/>
    <xf numFmtId="9" fontId="0" fillId="0" borderId="166" xfId="3" applyFont="1" applyBorder="1" applyAlignment="1">
      <alignment horizontal="center"/>
    </xf>
    <xf numFmtId="0" fontId="41" fillId="0" borderId="0" xfId="0" applyFont="1"/>
    <xf numFmtId="0" fontId="0" fillId="8" borderId="114" xfId="0" applyFill="1" applyBorder="1"/>
    <xf numFmtId="0" fontId="0" fillId="0" borderId="13" xfId="0" applyBorder="1"/>
    <xf numFmtId="3" fontId="0" fillId="0" borderId="13" xfId="0" applyNumberFormat="1" applyBorder="1"/>
    <xf numFmtId="0" fontId="0" fillId="12" borderId="67" xfId="0" applyFill="1" applyBorder="1"/>
    <xf numFmtId="3" fontId="2" fillId="11" borderId="132" xfId="13" applyNumberFormat="1" applyFill="1" applyBorder="1"/>
    <xf numFmtId="164" fontId="0" fillId="0" borderId="79" xfId="1" applyNumberFormat="1" applyFont="1" applyFill="1" applyBorder="1"/>
    <xf numFmtId="164" fontId="0" fillId="0" borderId="105" xfId="1" applyNumberFormat="1" applyFont="1" applyFill="1" applyBorder="1"/>
    <xf numFmtId="164" fontId="13" fillId="0" borderId="97" xfId="1" applyNumberFormat="1" applyFont="1" applyFill="1" applyBorder="1"/>
    <xf numFmtId="164" fontId="13" fillId="0" borderId="106" xfId="1" applyNumberFormat="1" applyFont="1" applyFill="1" applyBorder="1"/>
    <xf numFmtId="164" fontId="42" fillId="0" borderId="0" xfId="0" applyNumberFormat="1" applyFont="1" applyAlignment="1">
      <alignment horizontal="center"/>
    </xf>
    <xf numFmtId="0" fontId="42" fillId="0" borderId="0" xfId="0" applyFont="1" applyAlignment="1">
      <alignment horizontal="center"/>
    </xf>
    <xf numFmtId="164" fontId="0" fillId="4" borderId="168" xfId="0" applyNumberFormat="1" applyFill="1" applyBorder="1"/>
    <xf numFmtId="0" fontId="0" fillId="4" borderId="169" xfId="0" applyFill="1" applyBorder="1"/>
    <xf numFmtId="0" fontId="13" fillId="0" borderId="169" xfId="0" quotePrefix="1" applyFont="1" applyBorder="1" applyAlignment="1">
      <alignment horizontal="center"/>
    </xf>
    <xf numFmtId="9" fontId="0" fillId="0" borderId="170" xfId="3" applyFont="1" applyBorder="1" applyAlignment="1">
      <alignment horizontal="center"/>
    </xf>
    <xf numFmtId="164" fontId="0" fillId="0" borderId="171" xfId="1" applyNumberFormat="1" applyFont="1" applyBorder="1"/>
    <xf numFmtId="164" fontId="0" fillId="0" borderId="170" xfId="1" applyNumberFormat="1" applyFont="1" applyBorder="1"/>
    <xf numFmtId="164" fontId="0" fillId="0" borderId="152" xfId="1" applyNumberFormat="1" applyFont="1" applyBorder="1"/>
    <xf numFmtId="164" fontId="0" fillId="0" borderId="172" xfId="1" applyNumberFormat="1" applyFont="1" applyBorder="1"/>
    <xf numFmtId="164" fontId="0" fillId="0" borderId="169" xfId="1" applyNumberFormat="1" applyFont="1" applyBorder="1"/>
    <xf numFmtId="9" fontId="0" fillId="0" borderId="152" xfId="3" applyFont="1" applyBorder="1" applyAlignment="1">
      <alignment horizontal="center"/>
    </xf>
    <xf numFmtId="9" fontId="0" fillId="0" borderId="172" xfId="3" applyFont="1" applyBorder="1" applyAlignment="1">
      <alignment horizontal="center"/>
    </xf>
    <xf numFmtId="9" fontId="0" fillId="0" borderId="169" xfId="3" applyFont="1" applyBorder="1" applyAlignment="1">
      <alignment horizontal="center"/>
    </xf>
    <xf numFmtId="9" fontId="0" fillId="0" borderId="173" xfId="3" applyFont="1" applyBorder="1" applyAlignment="1">
      <alignment horizontal="center"/>
    </xf>
    <xf numFmtId="16" fontId="13" fillId="9" borderId="82" xfId="0" quotePrefix="1" applyNumberFormat="1" applyFont="1" applyFill="1" applyBorder="1" applyAlignment="1">
      <alignment horizontal="center"/>
    </xf>
    <xf numFmtId="164" fontId="0" fillId="0" borderId="39" xfId="1" applyNumberFormat="1" applyFont="1" applyFill="1" applyBorder="1"/>
    <xf numFmtId="9" fontId="0" fillId="0" borderId="39" xfId="3" applyFont="1" applyFill="1" applyBorder="1" applyAlignment="1">
      <alignment horizontal="center"/>
    </xf>
    <xf numFmtId="9" fontId="0" fillId="0" borderId="101" xfId="3" applyFont="1" applyFill="1" applyBorder="1" applyAlignment="1">
      <alignment horizontal="center"/>
    </xf>
    <xf numFmtId="9" fontId="0" fillId="0" borderId="79" xfId="3" applyFont="1" applyFill="1" applyBorder="1" applyAlignment="1">
      <alignment horizontal="center"/>
    </xf>
    <xf numFmtId="9" fontId="0" fillId="0" borderId="92" xfId="3" applyFont="1" applyFill="1" applyBorder="1" applyAlignment="1">
      <alignment horizontal="center"/>
    </xf>
    <xf numFmtId="164" fontId="0" fillId="0" borderId="91" xfId="1" applyNumberFormat="1" applyFont="1" applyFill="1" applyBorder="1"/>
    <xf numFmtId="9" fontId="0" fillId="17" borderId="101" xfId="3" applyFont="1" applyFill="1" applyBorder="1" applyAlignment="1">
      <alignment horizontal="center"/>
    </xf>
    <xf numFmtId="9" fontId="0" fillId="17" borderId="164" xfId="3" applyFont="1" applyFill="1" applyBorder="1" applyAlignment="1">
      <alignment horizontal="center"/>
    </xf>
    <xf numFmtId="9" fontId="0" fillId="17" borderId="166" xfId="3" applyFont="1" applyFill="1" applyBorder="1" applyAlignment="1">
      <alignment horizontal="center"/>
    </xf>
    <xf numFmtId="9" fontId="0" fillId="0" borderId="164" xfId="3" applyFont="1" applyFill="1" applyBorder="1" applyAlignment="1">
      <alignment horizontal="center"/>
    </xf>
    <xf numFmtId="0" fontId="2" fillId="5" borderId="135" xfId="13" applyFill="1" applyBorder="1" applyAlignment="1">
      <alignment horizontal="left"/>
    </xf>
    <xf numFmtId="0" fontId="2" fillId="12" borderId="45" xfId="13" applyFill="1" applyBorder="1"/>
    <xf numFmtId="0" fontId="2" fillId="12" borderId="176" xfId="13" applyFill="1" applyBorder="1"/>
    <xf numFmtId="0" fontId="2" fillId="12" borderId="177" xfId="13" applyFill="1" applyBorder="1"/>
    <xf numFmtId="0" fontId="2" fillId="4" borderId="178" xfId="13" applyFill="1" applyBorder="1" applyAlignment="1">
      <alignment horizontal="left"/>
    </xf>
    <xf numFmtId="0" fontId="3" fillId="0" borderId="14" xfId="14" applyBorder="1"/>
    <xf numFmtId="0" fontId="3" fillId="0" borderId="174" xfId="14" applyBorder="1" applyAlignment="1">
      <alignment horizontal="center"/>
    </xf>
    <xf numFmtId="0" fontId="3" fillId="0" borderId="14" xfId="14" applyBorder="1" applyAlignment="1">
      <alignment horizontal="center"/>
    </xf>
    <xf numFmtId="0" fontId="3" fillId="0" borderId="175" xfId="14" applyBorder="1" applyAlignment="1">
      <alignment horizontal="center"/>
    </xf>
    <xf numFmtId="0" fontId="3" fillId="0" borderId="179" xfId="14" applyBorder="1"/>
    <xf numFmtId="164" fontId="0" fillId="6" borderId="180" xfId="0" applyNumberFormat="1" applyFill="1" applyBorder="1"/>
    <xf numFmtId="0" fontId="0" fillId="6" borderId="181" xfId="0" applyFill="1" applyBorder="1"/>
    <xf numFmtId="0" fontId="13" fillId="0" borderId="181" xfId="0" quotePrefix="1" applyFont="1" applyBorder="1" applyAlignment="1">
      <alignment horizontal="center"/>
    </xf>
    <xf numFmtId="9" fontId="0" fillId="0" borderId="182" xfId="3" applyFont="1" applyBorder="1" applyAlignment="1">
      <alignment horizontal="center"/>
    </xf>
    <xf numFmtId="164" fontId="0" fillId="5" borderId="46" xfId="0" applyNumberFormat="1" applyFill="1" applyBorder="1"/>
    <xf numFmtId="0" fontId="0" fillId="5" borderId="89" xfId="0" applyFill="1" applyBorder="1"/>
    <xf numFmtId="164" fontId="0" fillId="0" borderId="45" xfId="1" applyNumberFormat="1" applyFont="1" applyFill="1" applyBorder="1"/>
    <xf numFmtId="9" fontId="0" fillId="0" borderId="45" xfId="3" applyFont="1" applyFill="1" applyBorder="1" applyAlignment="1">
      <alignment horizontal="center"/>
    </xf>
    <xf numFmtId="0" fontId="2" fillId="8" borderId="132" xfId="13" applyFill="1" applyBorder="1"/>
    <xf numFmtId="0" fontId="2" fillId="4" borderId="155" xfId="13" applyFill="1" applyBorder="1" applyAlignment="1">
      <alignment horizontal="left"/>
    </xf>
    <xf numFmtId="0" fontId="2" fillId="8" borderId="125" xfId="13" applyFill="1" applyBorder="1"/>
    <xf numFmtId="0" fontId="29" fillId="11" borderId="86" xfId="13" applyFont="1" applyFill="1" applyBorder="1"/>
    <xf numFmtId="3" fontId="2" fillId="8" borderId="136" xfId="13" applyNumberFormat="1" applyFill="1" applyBorder="1"/>
    <xf numFmtId="0" fontId="2" fillId="8" borderId="183" xfId="13" applyFill="1" applyBorder="1"/>
    <xf numFmtId="0" fontId="2" fillId="8" borderId="136" xfId="13" applyFill="1" applyBorder="1"/>
    <xf numFmtId="1" fontId="2" fillId="8" borderId="132" xfId="13" applyNumberFormat="1" applyFill="1" applyBorder="1"/>
    <xf numFmtId="0" fontId="0" fillId="0" borderId="14" xfId="0" applyBorder="1"/>
    <xf numFmtId="0" fontId="0" fillId="8" borderId="14" xfId="0" applyFill="1" applyBorder="1"/>
    <xf numFmtId="3" fontId="0" fillId="0" borderId="9" xfId="0" applyNumberFormat="1" applyBorder="1"/>
    <xf numFmtId="3" fontId="0" fillId="12" borderId="9" xfId="0" applyNumberFormat="1" applyFill="1" applyBorder="1"/>
    <xf numFmtId="0" fontId="0" fillId="0" borderId="76" xfId="0" applyBorder="1"/>
    <xf numFmtId="3" fontId="0" fillId="0" borderId="76" xfId="0" applyNumberFormat="1" applyBorder="1"/>
    <xf numFmtId="3" fontId="0" fillId="8" borderId="76" xfId="0" applyNumberFormat="1" applyFill="1" applyBorder="1"/>
    <xf numFmtId="3" fontId="43" fillId="19" borderId="184" xfId="0" applyNumberFormat="1" applyFont="1" applyFill="1" applyBorder="1" applyAlignment="1">
      <alignment wrapText="1"/>
    </xf>
    <xf numFmtId="3" fontId="0" fillId="0" borderId="184" xfId="0" applyNumberFormat="1" applyBorder="1" applyAlignment="1">
      <alignment wrapText="1"/>
    </xf>
    <xf numFmtId="3" fontId="44" fillId="0" borderId="184" xfId="0" applyNumberFormat="1" applyFont="1" applyBorder="1" applyAlignment="1">
      <alignment wrapText="1"/>
    </xf>
    <xf numFmtId="3" fontId="45" fillId="0" borderId="184" xfId="0" applyNumberFormat="1" applyFont="1" applyBorder="1" applyAlignment="1">
      <alignment wrapText="1"/>
    </xf>
    <xf numFmtId="3" fontId="46" fillId="0" borderId="184" xfId="0" applyNumberFormat="1" applyFont="1" applyBorder="1" applyAlignment="1">
      <alignment wrapText="1"/>
    </xf>
    <xf numFmtId="0" fontId="3" fillId="17" borderId="0" xfId="14" applyFill="1"/>
    <xf numFmtId="0" fontId="3" fillId="17" borderId="109" xfId="14" applyFill="1" applyBorder="1"/>
    <xf numFmtId="0" fontId="0" fillId="20" borderId="0" xfId="0" applyFill="1"/>
    <xf numFmtId="3" fontId="0" fillId="20" borderId="0" xfId="0" applyNumberFormat="1" applyFill="1"/>
    <xf numFmtId="0" fontId="21" fillId="20" borderId="0" xfId="0" applyFont="1" applyFill="1"/>
    <xf numFmtId="0" fontId="55" fillId="0" borderId="0" xfId="0" applyFont="1"/>
    <xf numFmtId="0" fontId="55" fillId="0" borderId="0" xfId="0" applyFont="1" applyAlignment="1">
      <alignment horizontal="left"/>
    </xf>
    <xf numFmtId="0" fontId="55" fillId="21" borderId="0" xfId="0" applyFont="1" applyFill="1"/>
    <xf numFmtId="0" fontId="56" fillId="0" borderId="0" xfId="0" applyFont="1"/>
    <xf numFmtId="0" fontId="56" fillId="0" borderId="185" xfId="0" applyFont="1" applyBorder="1" applyAlignment="1">
      <alignment horizontal="left" wrapText="1"/>
    </xf>
    <xf numFmtId="0" fontId="56" fillId="0" borderId="185" xfId="0" applyFont="1" applyBorder="1"/>
    <xf numFmtId="3" fontId="56" fillId="0" borderId="0" xfId="0" applyNumberFormat="1" applyFont="1"/>
    <xf numFmtId="3" fontId="56" fillId="0" borderId="186" xfId="0" applyNumberFormat="1" applyFont="1" applyBorder="1"/>
    <xf numFmtId="3" fontId="56" fillId="21" borderId="186" xfId="0" applyNumberFormat="1" applyFont="1" applyFill="1" applyBorder="1"/>
    <xf numFmtId="0" fontId="56" fillId="0" borderId="0" xfId="0" applyFont="1" applyAlignment="1">
      <alignment horizontal="left"/>
    </xf>
    <xf numFmtId="0" fontId="55" fillId="0" borderId="184" xfId="0" applyFont="1" applyBorder="1" applyAlignment="1">
      <alignment horizontal="left" wrapText="1"/>
    </xf>
    <xf numFmtId="0" fontId="55" fillId="0" borderId="184" xfId="0" applyFont="1" applyBorder="1"/>
    <xf numFmtId="0" fontId="55" fillId="0" borderId="0" xfId="0" applyFont="1" applyAlignment="1">
      <alignment horizontal="left" indent="1"/>
    </xf>
    <xf numFmtId="3" fontId="55" fillId="0" borderId="0" xfId="0" applyNumberFormat="1" applyFont="1"/>
    <xf numFmtId="0" fontId="56" fillId="22" borderId="184" xfId="0" applyFont="1" applyFill="1" applyBorder="1" applyAlignment="1">
      <alignment horizontal="left" wrapText="1"/>
    </xf>
    <xf numFmtId="0" fontId="56" fillId="22" borderId="184" xfId="0" applyFont="1" applyFill="1" applyBorder="1"/>
    <xf numFmtId="0" fontId="56" fillId="22" borderId="0" xfId="0" applyFont="1" applyFill="1"/>
    <xf numFmtId="3" fontId="56" fillId="22" borderId="0" xfId="0" applyNumberFormat="1" applyFont="1" applyFill="1"/>
    <xf numFmtId="3" fontId="56" fillId="23" borderId="0" xfId="0" applyNumberFormat="1" applyFont="1" applyFill="1"/>
    <xf numFmtId="0" fontId="56" fillId="22" borderId="0" xfId="0" applyFont="1" applyFill="1" applyAlignment="1">
      <alignment horizontal="left"/>
    </xf>
    <xf numFmtId="0" fontId="57" fillId="0" borderId="184" xfId="0" applyFont="1" applyBorder="1" applyAlignment="1">
      <alignment horizontal="left" wrapText="1"/>
    </xf>
    <xf numFmtId="3" fontId="55" fillId="0" borderId="187" xfId="0" applyNumberFormat="1" applyFont="1" applyBorder="1"/>
    <xf numFmtId="3" fontId="55" fillId="24" borderId="0" xfId="0" applyNumberFormat="1" applyFont="1" applyFill="1"/>
    <xf numFmtId="0" fontId="55" fillId="0" borderId="0" xfId="0" applyFont="1" applyAlignment="1">
      <alignment horizontal="right"/>
    </xf>
    <xf numFmtId="0" fontId="55" fillId="23" borderId="0" xfId="0" applyFont="1" applyFill="1"/>
    <xf numFmtId="3" fontId="55" fillId="25" borderId="187" xfId="0" applyNumberFormat="1" applyFont="1" applyFill="1" applyBorder="1"/>
    <xf numFmtId="3" fontId="58" fillId="26" borderId="188" xfId="0" applyNumberFormat="1" applyFont="1" applyFill="1" applyBorder="1"/>
    <xf numFmtId="3" fontId="55" fillId="27" borderId="0" xfId="0" applyNumberFormat="1" applyFont="1" applyFill="1"/>
    <xf numFmtId="0" fontId="56" fillId="23" borderId="0" xfId="0" applyFont="1" applyFill="1"/>
    <xf numFmtId="0" fontId="55" fillId="0" borderId="189" xfId="0" applyFont="1" applyBorder="1"/>
    <xf numFmtId="3" fontId="13" fillId="28" borderId="0" xfId="0" applyNumberFormat="1" applyFont="1" applyFill="1"/>
    <xf numFmtId="0" fontId="55" fillId="0" borderId="0" xfId="0" applyFont="1" applyAlignment="1">
      <alignment wrapText="1"/>
    </xf>
    <xf numFmtId="0" fontId="60" fillId="0" borderId="184" xfId="0" applyFont="1" applyBorder="1" applyAlignment="1">
      <alignment horizontal="left" wrapText="1"/>
    </xf>
    <xf numFmtId="3" fontId="55" fillId="25" borderId="0" xfId="0" applyNumberFormat="1" applyFont="1" applyFill="1"/>
    <xf numFmtId="3" fontId="55" fillId="29" borderId="0" xfId="0" applyNumberFormat="1" applyFont="1" applyFill="1"/>
    <xf numFmtId="0" fontId="55" fillId="29" borderId="184" xfId="0" applyFont="1" applyFill="1" applyBorder="1" applyAlignment="1">
      <alignment horizontal="left" wrapText="1"/>
    </xf>
    <xf numFmtId="3" fontId="55" fillId="28" borderId="0" xfId="0" applyNumberFormat="1" applyFont="1" applyFill="1"/>
    <xf numFmtId="0" fontId="55" fillId="25" borderId="0" xfId="0" applyFont="1" applyFill="1"/>
    <xf numFmtId="3" fontId="55" fillId="26" borderId="0" xfId="0" applyNumberFormat="1" applyFont="1" applyFill="1"/>
    <xf numFmtId="0" fontId="60" fillId="30" borderId="184" xfId="0" applyFont="1" applyFill="1" applyBorder="1" applyAlignment="1">
      <alignment horizontal="left" wrapText="1"/>
    </xf>
    <xf numFmtId="0" fontId="55" fillId="29" borderId="0" xfId="0" applyFont="1" applyFill="1"/>
    <xf numFmtId="0" fontId="60" fillId="29" borderId="184" xfId="0" applyFont="1" applyFill="1" applyBorder="1" applyAlignment="1">
      <alignment horizontal="left" wrapText="1"/>
    </xf>
    <xf numFmtId="0" fontId="55" fillId="25" borderId="184" xfId="0" applyFont="1" applyFill="1" applyBorder="1" applyAlignment="1">
      <alignment horizontal="left" wrapText="1"/>
    </xf>
    <xf numFmtId="0" fontId="21" fillId="25" borderId="184" xfId="0" applyFont="1" applyFill="1" applyBorder="1" applyAlignment="1">
      <alignment horizontal="left" wrapText="1"/>
    </xf>
    <xf numFmtId="0" fontId="21" fillId="0" borderId="184" xfId="0" applyFont="1" applyBorder="1" applyAlignment="1">
      <alignment horizontal="left" wrapText="1"/>
    </xf>
    <xf numFmtId="0" fontId="60" fillId="25" borderId="184" xfId="0" applyFont="1" applyFill="1" applyBorder="1" applyAlignment="1">
      <alignment horizontal="left" wrapText="1"/>
    </xf>
    <xf numFmtId="0" fontId="59" fillId="31" borderId="184" xfId="0" applyFont="1" applyFill="1" applyBorder="1" applyAlignment="1">
      <alignment horizontal="left" wrapText="1"/>
    </xf>
    <xf numFmtId="0" fontId="60" fillId="31" borderId="184" xfId="0" applyFont="1" applyFill="1" applyBorder="1" applyAlignment="1">
      <alignment horizontal="left" wrapText="1"/>
    </xf>
    <xf numFmtId="0" fontId="62" fillId="31" borderId="184" xfId="0" applyFont="1" applyFill="1" applyBorder="1" applyAlignment="1">
      <alignment horizontal="left" wrapText="1"/>
    </xf>
    <xf numFmtId="0" fontId="21" fillId="31" borderId="184" xfId="0" applyFont="1" applyFill="1" applyBorder="1" applyAlignment="1">
      <alignment horizontal="left" wrapText="1"/>
    </xf>
    <xf numFmtId="0" fontId="55" fillId="31" borderId="184" xfId="0" applyFont="1" applyFill="1" applyBorder="1" applyAlignment="1">
      <alignment horizontal="left" wrapText="1"/>
    </xf>
    <xf numFmtId="0" fontId="61" fillId="31" borderId="184" xfId="0" applyFont="1" applyFill="1" applyBorder="1" applyAlignment="1">
      <alignment horizontal="left" wrapText="1"/>
    </xf>
    <xf numFmtId="0" fontId="64" fillId="31" borderId="184" xfId="0" applyFont="1" applyFill="1" applyBorder="1" applyAlignment="1">
      <alignment horizontal="left" wrapText="1"/>
    </xf>
    <xf numFmtId="0" fontId="55" fillId="30" borderId="0" xfId="0" applyFont="1" applyFill="1"/>
    <xf numFmtId="0" fontId="55" fillId="25" borderId="190" xfId="0" applyFont="1" applyFill="1" applyBorder="1" applyAlignment="1">
      <alignment horizontal="left"/>
    </xf>
    <xf numFmtId="0" fontId="65" fillId="32" borderId="184" xfId="0" applyFont="1" applyFill="1" applyBorder="1" applyAlignment="1">
      <alignment horizontal="left"/>
    </xf>
    <xf numFmtId="0" fontId="65" fillId="32" borderId="184" xfId="0" applyFont="1" applyFill="1" applyBorder="1"/>
    <xf numFmtId="0" fontId="65" fillId="32" borderId="0" xfId="0" applyFont="1" applyFill="1"/>
    <xf numFmtId="0" fontId="66" fillId="26" borderId="0" xfId="0" applyFont="1" applyFill="1"/>
    <xf numFmtId="0" fontId="65" fillId="32" borderId="191" xfId="0" applyFont="1" applyFill="1" applyBorder="1" applyAlignment="1">
      <alignment horizontal="left"/>
    </xf>
    <xf numFmtId="0" fontId="65" fillId="32" borderId="191" xfId="0" applyFont="1" applyFill="1" applyBorder="1"/>
    <xf numFmtId="0" fontId="56" fillId="0" borderId="0" xfId="0" applyFont="1" applyAlignment="1">
      <alignment horizontal="centerContinuous"/>
    </xf>
    <xf numFmtId="0" fontId="55" fillId="8" borderId="0" xfId="0" applyFont="1" applyFill="1"/>
    <xf numFmtId="0" fontId="55" fillId="8" borderId="0" xfId="0" applyFont="1" applyFill="1" applyAlignment="1">
      <alignment horizontal="left"/>
    </xf>
    <xf numFmtId="0" fontId="55" fillId="22" borderId="0" xfId="0" applyFont="1" applyFill="1"/>
    <xf numFmtId="0" fontId="0" fillId="18" borderId="0" xfId="0" applyFill="1"/>
    <xf numFmtId="0" fontId="2" fillId="0" borderId="136" xfId="13" applyBorder="1"/>
    <xf numFmtId="0" fontId="2" fillId="0" borderId="132" xfId="13" applyBorder="1"/>
    <xf numFmtId="0" fontId="2" fillId="0" borderId="125" xfId="13" applyBorder="1"/>
    <xf numFmtId="0" fontId="2" fillId="8" borderId="63" xfId="13" applyFill="1" applyBorder="1"/>
    <xf numFmtId="0" fontId="0" fillId="0" borderId="0" xfId="14" applyFont="1"/>
    <xf numFmtId="0" fontId="2" fillId="20" borderId="39" xfId="13" applyFill="1" applyBorder="1"/>
    <xf numFmtId="0" fontId="2" fillId="20" borderId="125" xfId="13" applyFill="1" applyBorder="1"/>
    <xf numFmtId="0" fontId="2" fillId="20" borderId="54" xfId="13" applyFill="1" applyBorder="1"/>
    <xf numFmtId="0" fontId="2" fillId="28" borderId="39" xfId="13" applyFill="1" applyBorder="1"/>
    <xf numFmtId="0" fontId="2" fillId="28" borderId="132" xfId="13" applyFill="1" applyBorder="1"/>
    <xf numFmtId="0" fontId="2" fillId="28" borderId="166" xfId="13" applyFill="1" applyBorder="1" applyAlignment="1">
      <alignment horizontal="right" vertical="top" wrapText="1" indent="1"/>
    </xf>
    <xf numFmtId="0" fontId="2" fillId="0" borderId="166" xfId="13" applyBorder="1" applyAlignment="1">
      <alignment horizontal="right" vertical="top" wrapText="1" indent="1"/>
    </xf>
    <xf numFmtId="0" fontId="2" fillId="33" borderId="166" xfId="13" applyFill="1" applyBorder="1" applyAlignment="1">
      <alignment horizontal="right" vertical="top" wrapText="1" indent="1"/>
    </xf>
    <xf numFmtId="0" fontId="2" fillId="0" borderId="114" xfId="13" applyBorder="1" applyAlignment="1">
      <alignment horizontal="right" vertical="top" wrapText="1" indent="1"/>
    </xf>
    <xf numFmtId="0" fontId="2" fillId="34" borderId="39" xfId="13" applyFill="1" applyBorder="1"/>
    <xf numFmtId="0" fontId="2" fillId="34" borderId="0" xfId="13" applyFill="1"/>
    <xf numFmtId="1" fontId="2" fillId="34" borderId="132" xfId="13" applyNumberFormat="1" applyFill="1" applyBorder="1"/>
    <xf numFmtId="1" fontId="2" fillId="34" borderId="39" xfId="13" applyNumberFormat="1" applyFill="1" applyBorder="1"/>
    <xf numFmtId="0" fontId="2" fillId="34" borderId="54" xfId="13" applyFill="1" applyBorder="1"/>
    <xf numFmtId="0" fontId="2" fillId="8" borderId="39" xfId="13" applyFill="1" applyBorder="1"/>
    <xf numFmtId="0" fontId="21" fillId="0" borderId="0" xfId="0" applyFont="1"/>
    <xf numFmtId="164" fontId="0" fillId="11" borderId="101" xfId="1" applyNumberFormat="1" applyFont="1" applyFill="1" applyBorder="1"/>
    <xf numFmtId="164" fontId="0" fillId="11" borderId="79" xfId="1" applyNumberFormat="1" applyFont="1" applyFill="1" applyBorder="1"/>
    <xf numFmtId="164" fontId="0" fillId="11" borderId="105" xfId="1" applyNumberFormat="1" applyFont="1" applyFill="1" applyBorder="1"/>
    <xf numFmtId="9" fontId="0" fillId="11" borderId="101" xfId="3" applyFont="1" applyFill="1" applyBorder="1" applyAlignment="1">
      <alignment horizontal="center"/>
    </xf>
    <xf numFmtId="9" fontId="0" fillId="11" borderId="79" xfId="3" applyFont="1" applyFill="1" applyBorder="1" applyAlignment="1">
      <alignment horizontal="center"/>
    </xf>
    <xf numFmtId="9" fontId="0" fillId="11" borderId="164" xfId="3" applyFont="1" applyFill="1" applyBorder="1" applyAlignment="1">
      <alignment horizontal="center"/>
    </xf>
    <xf numFmtId="0" fontId="9" fillId="2" borderId="7" xfId="0" quotePrefix="1" applyFont="1" applyFill="1" applyBorder="1" applyAlignment="1">
      <alignment horizontal="center" vertical="center" wrapText="1"/>
    </xf>
    <xf numFmtId="0" fontId="9" fillId="2" borderId="3" xfId="0" quotePrefix="1" applyFont="1" applyFill="1" applyBorder="1" applyAlignment="1">
      <alignment horizontal="center" vertical="center" wrapText="1"/>
    </xf>
    <xf numFmtId="0" fontId="9" fillId="2" borderId="5" xfId="0" quotePrefix="1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5" fillId="0" borderId="116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2" borderId="2" xfId="0" quotePrefix="1" applyFont="1" applyFill="1" applyBorder="1" applyAlignment="1">
      <alignment horizontal="center" vertical="center"/>
    </xf>
    <xf numFmtId="0" fontId="9" fillId="2" borderId="3" xfId="0" quotePrefix="1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24" fillId="12" borderId="122" xfId="2" quotePrefix="1" applyNumberFormat="1" applyFont="1" applyFill="1" applyBorder="1" applyAlignment="1" applyProtection="1">
      <alignment horizontal="center" vertical="center" wrapText="1"/>
      <protection locked="0"/>
    </xf>
    <xf numFmtId="0" fontId="24" fillId="12" borderId="67" xfId="2" quotePrefix="1" applyNumberFormat="1" applyFont="1" applyFill="1" applyBorder="1" applyAlignment="1" applyProtection="1">
      <alignment horizontal="center" vertical="center" wrapText="1"/>
      <protection locked="0"/>
    </xf>
    <xf numFmtId="0" fontId="24" fillId="12" borderId="123" xfId="2" quotePrefix="1" applyNumberFormat="1" applyFont="1" applyFill="1" applyBorder="1" applyAlignment="1" applyProtection="1">
      <alignment horizontal="center" vertical="center" wrapText="1"/>
      <protection locked="0"/>
    </xf>
    <xf numFmtId="166" fontId="2" fillId="0" borderId="122" xfId="13" applyNumberFormat="1" applyBorder="1" applyAlignment="1">
      <alignment horizontal="center" vertical="center" wrapText="1"/>
    </xf>
    <xf numFmtId="166" fontId="2" fillId="0" borderId="123" xfId="13" applyNumberFormat="1" applyBorder="1" applyAlignment="1">
      <alignment horizontal="center" vertical="center" wrapText="1"/>
    </xf>
    <xf numFmtId="0" fontId="2" fillId="0" borderId="67" xfId="13" applyBorder="1" applyAlignment="1">
      <alignment horizontal="left" vertical="top" wrapText="1"/>
    </xf>
    <xf numFmtId="0" fontId="2" fillId="0" borderId="123" xfId="13" applyBorder="1" applyAlignment="1">
      <alignment horizontal="left" vertical="top" wrapText="1"/>
    </xf>
    <xf numFmtId="0" fontId="23" fillId="0" borderId="0" xfId="13" applyFont="1" applyAlignment="1">
      <alignment horizontal="center" vertical="center" wrapText="1"/>
    </xf>
    <xf numFmtId="0" fontId="24" fillId="10" borderId="122" xfId="2" quotePrefix="1" applyNumberFormat="1" applyFont="1" applyFill="1" applyBorder="1" applyAlignment="1" applyProtection="1">
      <alignment horizontal="center" vertical="center" wrapText="1"/>
      <protection locked="0"/>
    </xf>
    <xf numFmtId="0" fontId="24" fillId="10" borderId="67" xfId="2" quotePrefix="1" applyNumberFormat="1" applyFont="1" applyFill="1" applyBorder="1" applyAlignment="1" applyProtection="1">
      <alignment horizontal="center" vertical="center" wrapText="1"/>
      <protection locked="0"/>
    </xf>
    <xf numFmtId="0" fontId="24" fillId="10" borderId="123" xfId="2" quotePrefix="1" applyNumberFormat="1" applyFont="1" applyFill="1" applyBorder="1" applyAlignment="1" applyProtection="1">
      <alignment horizontal="center" vertical="center" wrapText="1"/>
      <protection locked="0"/>
    </xf>
    <xf numFmtId="0" fontId="25" fillId="11" borderId="122" xfId="2" quotePrefix="1" applyNumberFormat="1" applyFont="1" applyFill="1" applyBorder="1" applyAlignment="1" applyProtection="1">
      <alignment horizontal="center" vertical="center" wrapText="1"/>
      <protection locked="0"/>
    </xf>
    <xf numFmtId="0" fontId="25" fillId="11" borderId="67" xfId="2" quotePrefix="1" applyNumberFormat="1" applyFont="1" applyFill="1" applyBorder="1" applyAlignment="1" applyProtection="1">
      <alignment horizontal="center" vertical="center" wrapText="1"/>
      <protection locked="0"/>
    </xf>
    <xf numFmtId="0" fontId="26" fillId="7" borderId="124" xfId="13" applyFont="1" applyFill="1" applyBorder="1" applyAlignment="1">
      <alignment horizontal="center" vertical="center" wrapText="1"/>
    </xf>
    <xf numFmtId="0" fontId="26" fillId="7" borderId="127" xfId="13" applyFont="1" applyFill="1" applyBorder="1" applyAlignment="1">
      <alignment horizontal="center" vertical="center" wrapText="1"/>
    </xf>
    <xf numFmtId="0" fontId="25" fillId="7" borderId="124" xfId="2" quotePrefix="1" applyNumberFormat="1" applyFont="1" applyFill="1" applyBorder="1" applyAlignment="1" applyProtection="1">
      <alignment horizontal="center" vertical="center" wrapText="1"/>
      <protection locked="0"/>
    </xf>
    <xf numFmtId="0" fontId="25" fillId="7" borderId="127" xfId="2" quotePrefix="1" applyNumberFormat="1" applyFont="1" applyFill="1" applyBorder="1" applyAlignment="1" applyProtection="1">
      <alignment horizontal="center" vertical="center" wrapText="1"/>
      <protection locked="0"/>
    </xf>
    <xf numFmtId="0" fontId="25" fillId="12" borderId="124" xfId="2" quotePrefix="1" applyNumberFormat="1" applyFont="1" applyFill="1" applyBorder="1" applyAlignment="1" applyProtection="1">
      <alignment horizontal="center" vertical="center" wrapText="1"/>
      <protection locked="0"/>
    </xf>
    <xf numFmtId="0" fontId="25" fillId="12" borderId="127" xfId="2" quotePrefix="1" applyNumberFormat="1" applyFont="1" applyFill="1" applyBorder="1" applyAlignment="1" applyProtection="1">
      <alignment horizontal="center" vertical="center" wrapText="1"/>
      <protection locked="0"/>
    </xf>
  </cellXfs>
  <cellStyles count="17">
    <cellStyle name="Comma 2" xfId="1" xr:uid="{00000000-0005-0000-0000-000000000000}"/>
    <cellStyle name="Comma 2 2" xfId="2" xr:uid="{00000000-0005-0000-0000-000001000000}"/>
    <cellStyle name="Comma 3" xfId="5" xr:uid="{00000000-0005-0000-0000-000002000000}"/>
    <cellStyle name="Normal" xfId="0" builtinId="0"/>
    <cellStyle name="Normal 2" xfId="7" xr:uid="{00000000-0005-0000-0000-000004000000}"/>
    <cellStyle name="Normal 2 2" xfId="8" xr:uid="{00000000-0005-0000-0000-000005000000}"/>
    <cellStyle name="Normal 27" xfId="13" xr:uid="{9EE7AA79-753D-4EB4-B192-1E492CB08A9C}"/>
    <cellStyle name="Normal 3" xfId="10" xr:uid="{00000000-0005-0000-0000-000006000000}"/>
    <cellStyle name="Normal 3 2" xfId="11" xr:uid="{00000000-0005-0000-0000-000007000000}"/>
    <cellStyle name="Normal 34" xfId="6" xr:uid="{00000000-0005-0000-0000-000008000000}"/>
    <cellStyle name="Normal 35 2" xfId="14" xr:uid="{3400FEEC-DF80-4DB3-936C-9910E2E6EBC4}"/>
    <cellStyle name="Normal 37" xfId="9" xr:uid="{00000000-0005-0000-0000-000009000000}"/>
    <cellStyle name="Normal 4" xfId="15" xr:uid="{2BF570BA-C4C4-448A-9899-BE91D23CDDDD}"/>
    <cellStyle name="Percent 2" xfId="3" xr:uid="{00000000-0005-0000-0000-00000A000000}"/>
    <cellStyle name="Percent 3" xfId="16" xr:uid="{831C7523-9A81-4BD5-B1E1-16BD56A8EF90}"/>
    <cellStyle name="Percent 4" xfId="4" xr:uid="{00000000-0005-0000-0000-00000B000000}"/>
    <cellStyle name="Style 1" xfId="12" xr:uid="{00000000-0005-0000-0000-00000C000000}"/>
  </cellStyles>
  <dxfs count="15"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ndense val="0"/>
        <extend val="0"/>
        <color indexed="17"/>
      </font>
    </dxf>
    <dxf>
      <font>
        <b val="0"/>
        <i val="0"/>
        <condense val="0"/>
        <extend val="0"/>
        <color indexed="10"/>
      </font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7"/>
      </font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7"/>
      </font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7"/>
      </font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7"/>
      </font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17"/>
      </font>
    </dxf>
  </dxfs>
  <tableStyles count="0" defaultTableStyle="TableStyleMedium2" defaultPivotStyle="PivotStyleLight16"/>
  <colors>
    <mruColors>
      <color rgb="FF1808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415926</xdr:colOff>
      <xdr:row>0</xdr:row>
      <xdr:rowOff>161924</xdr:rowOff>
    </xdr:from>
    <xdr:to>
      <xdr:col>21</xdr:col>
      <xdr:colOff>421514</xdr:colOff>
      <xdr:row>2</xdr:row>
      <xdr:rowOff>609646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9F14B-7210-A9C5-85DC-3FCEEC86C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2701" y="161924"/>
          <a:ext cx="1167638" cy="10763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simpsone\LOCALS~1\Temp\Zip%2010099%20Capital\5YR%20-%20C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s"/>
      <sheetName val="Recurring CO Projs"/>
      <sheetName val="New Projects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119"/>
  <sheetViews>
    <sheetView showZeros="0" tabSelected="1" topLeftCell="A2" zoomScaleNormal="100" workbookViewId="0">
      <selection activeCell="A26" sqref="A26:XFD26"/>
    </sheetView>
  </sheetViews>
  <sheetFormatPr defaultRowHeight="14.5" x14ac:dyDescent="0.35"/>
  <cols>
    <col min="1" max="1" width="5.26953125" bestFit="1" customWidth="1"/>
    <col min="2" max="2" width="5.54296875" style="118" bestFit="1" customWidth="1"/>
    <col min="3" max="3" width="3.54296875" customWidth="1"/>
    <col min="4" max="4" width="5.7265625" bestFit="1" customWidth="1"/>
    <col min="5" max="5" width="25.81640625" customWidth="1"/>
    <col min="6" max="6" width="13" style="118" customWidth="1"/>
    <col min="7" max="7" width="9.54296875" style="195" customWidth="1"/>
    <col min="8" max="8" width="11" customWidth="1"/>
    <col min="9" max="10" width="9.7265625" customWidth="1"/>
    <col min="11" max="12" width="8.26953125" customWidth="1"/>
    <col min="13" max="13" width="8.81640625" customWidth="1"/>
    <col min="14" max="14" width="8.7265625" customWidth="1"/>
    <col min="15" max="16" width="9" customWidth="1"/>
    <col min="17" max="22" width="8.26953125" customWidth="1"/>
    <col min="23" max="23" width="2.54296875" customWidth="1"/>
    <col min="24" max="24" width="1.90625" customWidth="1"/>
    <col min="25" max="25" width="9.7265625" customWidth="1"/>
    <col min="26" max="26" width="10.81640625" bestFit="1" customWidth="1"/>
    <col min="27" max="38" width="8.26953125" customWidth="1"/>
  </cols>
  <sheetData>
    <row r="1" spans="1:38" x14ac:dyDescent="0.35">
      <c r="Z1" s="426"/>
    </row>
    <row r="2" spans="1:38" s="82" customFormat="1" ht="35.25" customHeight="1" x14ac:dyDescent="0.9">
      <c r="B2" s="83"/>
      <c r="E2" s="679" t="s">
        <v>712</v>
      </c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  <c r="Q2" s="679"/>
      <c r="R2" s="679"/>
      <c r="S2" s="679"/>
      <c r="T2" s="679"/>
      <c r="U2" s="679"/>
      <c r="V2" s="679"/>
      <c r="AA2" s="497" t="s">
        <v>499</v>
      </c>
    </row>
    <row r="3" spans="1:38" s="84" customFormat="1" ht="54" customHeight="1" thickBot="1" x14ac:dyDescent="0.55000000000000004">
      <c r="B3" s="85"/>
      <c r="E3" s="680" t="s">
        <v>387</v>
      </c>
      <c r="F3" s="680"/>
      <c r="G3" s="680"/>
      <c r="H3" s="680"/>
      <c r="I3" s="680"/>
      <c r="J3" s="680"/>
      <c r="K3" s="680"/>
      <c r="L3" s="680"/>
      <c r="M3" s="680"/>
      <c r="N3" s="680"/>
      <c r="O3" s="680"/>
      <c r="P3" s="680"/>
      <c r="Q3" s="680"/>
      <c r="R3" s="680"/>
      <c r="S3" s="680"/>
      <c r="T3" s="680"/>
      <c r="U3" s="680"/>
      <c r="V3" s="680"/>
    </row>
    <row r="4" spans="1:38" s="86" customFormat="1" ht="16" customHeight="1" x14ac:dyDescent="0.35">
      <c r="B4" s="87"/>
      <c r="E4" s="681" t="s">
        <v>0</v>
      </c>
      <c r="F4" s="682"/>
      <c r="G4" s="682"/>
      <c r="H4" s="682"/>
      <c r="I4" s="682"/>
      <c r="J4" s="682"/>
      <c r="K4" s="88" t="s">
        <v>394</v>
      </c>
      <c r="L4" s="669" t="s">
        <v>1</v>
      </c>
      <c r="M4" s="670"/>
      <c r="N4" s="670"/>
      <c r="O4" s="670"/>
      <c r="P4" s="671"/>
      <c r="Q4" s="89"/>
      <c r="R4" s="90" t="s">
        <v>2</v>
      </c>
      <c r="S4" s="91"/>
      <c r="T4" s="91"/>
      <c r="U4" s="91"/>
      <c r="V4" s="92"/>
      <c r="W4" s="93"/>
      <c r="AA4" s="88"/>
      <c r="AB4" s="669" t="s">
        <v>1</v>
      </c>
      <c r="AC4" s="670"/>
      <c r="AD4" s="670"/>
      <c r="AE4" s="670"/>
      <c r="AF4" s="671"/>
      <c r="AG4" s="89"/>
      <c r="AH4" s="90" t="s">
        <v>2</v>
      </c>
      <c r="AI4" s="91"/>
      <c r="AJ4" s="91"/>
      <c r="AK4" s="91"/>
      <c r="AL4" s="92"/>
    </row>
    <row r="5" spans="1:38" s="96" customFormat="1" ht="32.25" customHeight="1" x14ac:dyDescent="0.3">
      <c r="A5" s="94"/>
      <c r="B5" s="95"/>
      <c r="E5" s="196" t="s">
        <v>3</v>
      </c>
      <c r="F5" s="197"/>
      <c r="G5" s="198"/>
      <c r="H5" s="199"/>
      <c r="I5" s="200" t="s">
        <v>7</v>
      </c>
      <c r="J5" s="201"/>
      <c r="K5" s="202" t="s">
        <v>4</v>
      </c>
      <c r="L5" s="683" t="s">
        <v>5</v>
      </c>
      <c r="M5" s="684"/>
      <c r="N5" s="684"/>
      <c r="O5" s="684"/>
      <c r="P5" s="685"/>
      <c r="Q5" s="203" t="s">
        <v>4</v>
      </c>
      <c r="R5" s="683" t="s">
        <v>6</v>
      </c>
      <c r="S5" s="684"/>
      <c r="T5" s="684"/>
      <c r="U5" s="684"/>
      <c r="V5" s="686"/>
      <c r="W5" s="101"/>
      <c r="Y5" s="97" t="s">
        <v>493</v>
      </c>
      <c r="Z5" s="98"/>
      <c r="AA5" s="99" t="s">
        <v>4</v>
      </c>
      <c r="AB5" s="672" t="s">
        <v>5</v>
      </c>
      <c r="AC5" s="673"/>
      <c r="AD5" s="673"/>
      <c r="AE5" s="673"/>
      <c r="AF5" s="674"/>
      <c r="AG5" s="100" t="s">
        <v>4</v>
      </c>
      <c r="AH5" s="672" t="s">
        <v>6</v>
      </c>
      <c r="AI5" s="673"/>
      <c r="AJ5" s="673"/>
      <c r="AK5" s="673"/>
      <c r="AL5" s="675"/>
    </row>
    <row r="6" spans="1:38" s="104" customFormat="1" ht="46.5" customHeight="1" x14ac:dyDescent="0.35">
      <c r="A6" s="214" t="s">
        <v>8</v>
      </c>
      <c r="B6" s="214" t="s">
        <v>9</v>
      </c>
      <c r="C6" s="215" t="s">
        <v>10</v>
      </c>
      <c r="D6" s="215" t="s">
        <v>11</v>
      </c>
      <c r="E6" s="204" t="s">
        <v>12</v>
      </c>
      <c r="F6" s="205" t="s">
        <v>11</v>
      </c>
      <c r="G6" s="206" t="s">
        <v>13</v>
      </c>
      <c r="H6" s="207" t="s">
        <v>14</v>
      </c>
      <c r="I6" s="208" t="s">
        <v>715</v>
      </c>
      <c r="J6" s="209" t="s">
        <v>714</v>
      </c>
      <c r="K6" s="210" t="s">
        <v>713</v>
      </c>
      <c r="L6" s="212" t="s">
        <v>497</v>
      </c>
      <c r="M6" s="211" t="s">
        <v>500</v>
      </c>
      <c r="N6" s="213" t="s">
        <v>507</v>
      </c>
      <c r="O6" s="213" t="s">
        <v>631</v>
      </c>
      <c r="P6" s="213" t="s">
        <v>716</v>
      </c>
      <c r="Q6" s="210" t="s">
        <v>713</v>
      </c>
      <c r="R6" s="212" t="s">
        <v>497</v>
      </c>
      <c r="S6" s="211" t="s">
        <v>500</v>
      </c>
      <c r="T6" s="213" t="s">
        <v>507</v>
      </c>
      <c r="U6" s="213" t="s">
        <v>631</v>
      </c>
      <c r="V6" s="448" t="s">
        <v>716</v>
      </c>
      <c r="W6" s="446"/>
      <c r="Y6" s="208" t="s">
        <v>715</v>
      </c>
      <c r="Z6" s="209" t="s">
        <v>714</v>
      </c>
      <c r="AA6" s="210" t="s">
        <v>713</v>
      </c>
      <c r="AB6" s="212" t="s">
        <v>497</v>
      </c>
      <c r="AC6" s="211" t="s">
        <v>500</v>
      </c>
      <c r="AD6" s="213" t="s">
        <v>507</v>
      </c>
      <c r="AE6" s="213" t="s">
        <v>631</v>
      </c>
      <c r="AF6" s="213" t="s">
        <v>716</v>
      </c>
      <c r="AG6" s="210" t="s">
        <v>713</v>
      </c>
      <c r="AH6" s="212" t="s">
        <v>497</v>
      </c>
      <c r="AI6" s="211" t="s">
        <v>500</v>
      </c>
      <c r="AJ6" s="213" t="s">
        <v>507</v>
      </c>
      <c r="AK6" s="213" t="s">
        <v>631</v>
      </c>
      <c r="AL6" s="448" t="s">
        <v>716</v>
      </c>
    </row>
    <row r="7" spans="1:38" s="104" customFormat="1" ht="14.25" customHeight="1" thickBot="1" x14ac:dyDescent="0.35">
      <c r="A7" s="105"/>
      <c r="B7" s="102"/>
      <c r="C7" s="103"/>
      <c r="D7" s="103"/>
      <c r="E7" s="106"/>
      <c r="F7" s="107"/>
      <c r="G7" s="108"/>
      <c r="H7" s="109" t="s">
        <v>15</v>
      </c>
      <c r="I7" s="110" t="s">
        <v>16</v>
      </c>
      <c r="J7" s="111" t="s">
        <v>17</v>
      </c>
      <c r="K7" s="112"/>
      <c r="L7" s="423"/>
      <c r="M7" s="114"/>
      <c r="N7" s="114"/>
      <c r="O7" s="115"/>
      <c r="P7" s="116"/>
      <c r="Q7" s="112"/>
      <c r="R7" s="113"/>
      <c r="S7" s="114"/>
      <c r="T7" s="114"/>
      <c r="U7" s="114"/>
      <c r="V7" s="117"/>
      <c r="Y7" s="438" t="s">
        <v>16</v>
      </c>
      <c r="Z7" s="111" t="s">
        <v>17</v>
      </c>
      <c r="AA7" s="112"/>
      <c r="AB7" s="113"/>
      <c r="AC7" s="114"/>
      <c r="AD7" s="114"/>
      <c r="AE7" s="115"/>
      <c r="AF7" s="116"/>
      <c r="AG7" s="112"/>
      <c r="AH7" s="113"/>
      <c r="AI7" s="114"/>
      <c r="AJ7" s="114"/>
      <c r="AK7" s="114"/>
      <c r="AL7" s="117"/>
    </row>
    <row r="8" spans="1:38" x14ac:dyDescent="0.35">
      <c r="A8" s="250">
        <v>52</v>
      </c>
      <c r="B8" s="118">
        <v>3101</v>
      </c>
      <c r="C8">
        <v>5</v>
      </c>
      <c r="D8">
        <v>4</v>
      </c>
      <c r="E8" s="239" t="s">
        <v>18</v>
      </c>
      <c r="F8" s="488" t="s">
        <v>19</v>
      </c>
      <c r="G8" s="489" t="s">
        <v>20</v>
      </c>
      <c r="H8" s="240">
        <v>1</v>
      </c>
      <c r="I8" s="54">
        <f t="shared" ref="I8:I67" si="0">VLOOKUP(A8,SchLand,14, FALSE)+VLOOKUP(A8,SchLand,17, FALSE)</f>
        <v>733</v>
      </c>
      <c r="J8" s="69">
        <f t="shared" ref="J8:J68" si="1">ROUND(H8*I8,0)</f>
        <v>733</v>
      </c>
      <c r="K8" s="121">
        <v>598</v>
      </c>
      <c r="L8" s="122">
        <f>VLOOKUP(B8,budgeting2025,11,FALSE)</f>
        <v>589</v>
      </c>
      <c r="M8" s="122">
        <f t="shared" ref="M8:M39" si="2">VLOOKUP(B8,Combo2024,29,FALSE)</f>
        <v>568</v>
      </c>
      <c r="N8" s="122">
        <f t="shared" ref="N8:N39" si="3">VLOOKUP(B8,Combo2024,30,FALSE)</f>
        <v>543</v>
      </c>
      <c r="O8" s="122">
        <f t="shared" ref="O8:O39" si="4">VLOOKUP(B8,Combo2024,31,FALSE)</f>
        <v>520</v>
      </c>
      <c r="P8" s="124">
        <f t="shared" ref="P8:P39" si="5">VLOOKUP(B8,Combo2024,32,FALSE)</f>
        <v>500</v>
      </c>
      <c r="Q8" s="9">
        <f t="shared" ref="Q8" si="6">ROUND(K8/$J8,3)</f>
        <v>0.81599999999999995</v>
      </c>
      <c r="R8" s="76">
        <f>ROUND(L8/$J8,3)</f>
        <v>0.80400000000000005</v>
      </c>
      <c r="S8" s="56">
        <f t="shared" ref="S8" si="7">ROUND(M8/$J8,3)</f>
        <v>0.77500000000000002</v>
      </c>
      <c r="T8" s="56">
        <f t="shared" ref="T8" si="8">ROUND(N8/$J8,3)</f>
        <v>0.74099999999999999</v>
      </c>
      <c r="U8" s="56">
        <f t="shared" ref="U8" si="9">ROUND(O8/$J8,3)</f>
        <v>0.70899999999999996</v>
      </c>
      <c r="V8" s="449">
        <f t="shared" ref="V8" si="10">ROUND(P8/$J8,3)</f>
        <v>0.68200000000000005</v>
      </c>
      <c r="X8" s="437"/>
      <c r="Y8" s="64">
        <f t="shared" ref="Y8:Y69" si="11">VLOOKUP(A8,SchLand,14, FALSE)</f>
        <v>645</v>
      </c>
      <c r="Z8" s="69">
        <f>ROUND(Y8*H8,0)</f>
        <v>645</v>
      </c>
      <c r="AA8" s="121">
        <f t="shared" ref="AA8:AF8" si="12">K8</f>
        <v>598</v>
      </c>
      <c r="AB8" s="122">
        <f>L8</f>
        <v>589</v>
      </c>
      <c r="AC8" s="123">
        <f t="shared" si="12"/>
        <v>568</v>
      </c>
      <c r="AD8" s="123">
        <f t="shared" si="12"/>
        <v>543</v>
      </c>
      <c r="AE8" s="123">
        <f t="shared" si="12"/>
        <v>520</v>
      </c>
      <c r="AF8" s="124">
        <f t="shared" si="12"/>
        <v>500</v>
      </c>
      <c r="AG8" s="9">
        <f>ROUND(AA8/$Z8,3)</f>
        <v>0.92700000000000005</v>
      </c>
      <c r="AH8" s="76">
        <f t="shared" ref="AH8" si="13">ROUND(AB8/$Z8,3)</f>
        <v>0.91300000000000003</v>
      </c>
      <c r="AI8" s="56">
        <f t="shared" ref="AI8" si="14">ROUND(AC8/$Z8,3)</f>
        <v>0.88100000000000001</v>
      </c>
      <c r="AJ8" s="56">
        <f t="shared" ref="AJ8" si="15">ROUND(AD8/$Z8,3)</f>
        <v>0.84199999999999997</v>
      </c>
      <c r="AK8" s="56">
        <f t="shared" ref="AK8" si="16">ROUND(AE8/$Z8,3)</f>
        <v>0.80600000000000005</v>
      </c>
      <c r="AL8" s="57">
        <f t="shared" ref="AL8" si="17">ROUND(AF8/$Z8,3)</f>
        <v>0.77500000000000002</v>
      </c>
    </row>
    <row r="9" spans="1:38" x14ac:dyDescent="0.35">
      <c r="A9" s="250">
        <v>27</v>
      </c>
      <c r="B9" s="118">
        <v>1141</v>
      </c>
      <c r="C9">
        <v>4</v>
      </c>
      <c r="D9">
        <v>4</v>
      </c>
      <c r="E9" s="125" t="s">
        <v>21</v>
      </c>
      <c r="F9" s="126" t="s">
        <v>19</v>
      </c>
      <c r="G9" s="217" t="s">
        <v>20</v>
      </c>
      <c r="H9" s="34">
        <v>1</v>
      </c>
      <c r="I9" s="42">
        <f t="shared" si="0"/>
        <v>757</v>
      </c>
      <c r="J9" s="66">
        <f t="shared" si="1"/>
        <v>757</v>
      </c>
      <c r="K9" s="127">
        <v>433</v>
      </c>
      <c r="L9" s="128">
        <f t="shared" ref="L9:L39" si="18">VLOOKUP(B9,budgeting2025,11,FALSE)</f>
        <v>422</v>
      </c>
      <c r="M9" s="129">
        <f t="shared" si="2"/>
        <v>381</v>
      </c>
      <c r="N9" s="129">
        <f t="shared" si="3"/>
        <v>363</v>
      </c>
      <c r="O9" s="129">
        <f t="shared" si="4"/>
        <v>354</v>
      </c>
      <c r="P9" s="130">
        <f t="shared" si="5"/>
        <v>344</v>
      </c>
      <c r="Q9" s="5">
        <f t="shared" ref="Q9:Q23" si="19">ROUND(K9/$J9,3)</f>
        <v>0.57199999999999995</v>
      </c>
      <c r="R9" s="73">
        <f t="shared" ref="R9:R70" si="20">ROUND(L9/$J9,3)</f>
        <v>0.55700000000000005</v>
      </c>
      <c r="S9" s="44">
        <f t="shared" ref="S9:S70" si="21">ROUND(M9/$J9,3)</f>
        <v>0.503</v>
      </c>
      <c r="T9" s="44">
        <f t="shared" ref="T9:T70" si="22">ROUND(N9/$J9,3)</f>
        <v>0.48</v>
      </c>
      <c r="U9" s="44">
        <f t="shared" ref="U9:U70" si="23">ROUND(O9/$J9,3)</f>
        <v>0.46800000000000003</v>
      </c>
      <c r="V9" s="450">
        <f t="shared" ref="V9:V70" si="24">ROUND(P9/$J9,3)</f>
        <v>0.45400000000000001</v>
      </c>
      <c r="Y9" s="61">
        <f t="shared" si="11"/>
        <v>713</v>
      </c>
      <c r="Z9" s="66">
        <f t="shared" ref="Z9:Z70" si="25">ROUND(Y9*H9,0)</f>
        <v>713</v>
      </c>
      <c r="AA9" s="127">
        <f t="shared" ref="AA9:AA67" si="26">K9</f>
        <v>433</v>
      </c>
      <c r="AB9" s="128">
        <f t="shared" ref="AB9:AB67" si="27">L9</f>
        <v>422</v>
      </c>
      <c r="AC9" s="129">
        <f t="shared" ref="AC9:AC70" si="28">M9</f>
        <v>381</v>
      </c>
      <c r="AD9" s="129">
        <f t="shared" ref="AD9:AD70" si="29">N9</f>
        <v>363</v>
      </c>
      <c r="AE9" s="129">
        <f t="shared" ref="AE9:AE70" si="30">O9</f>
        <v>354</v>
      </c>
      <c r="AF9" s="130">
        <f t="shared" ref="AF9:AF70" si="31">P9</f>
        <v>344</v>
      </c>
      <c r="AG9" s="5">
        <f t="shared" ref="AG9:AG70" si="32">ROUND(AA9/$Z9,3)</f>
        <v>0.60699999999999998</v>
      </c>
      <c r="AH9" s="73">
        <f t="shared" ref="AH9:AH70" si="33">ROUND(AB9/$Z9,3)</f>
        <v>0.59199999999999997</v>
      </c>
      <c r="AI9" s="44">
        <f t="shared" ref="AI9:AI70" si="34">ROUND(AC9/$Z9,3)</f>
        <v>0.53400000000000003</v>
      </c>
      <c r="AJ9" s="44">
        <f t="shared" ref="AJ9:AJ70" si="35">ROUND(AD9/$Z9,3)</f>
        <v>0.50900000000000001</v>
      </c>
      <c r="AK9" s="44">
        <f t="shared" ref="AK9:AK70" si="36">ROUND(AE9/$Z9,3)</f>
        <v>0.496</v>
      </c>
      <c r="AL9" s="45">
        <f t="shared" ref="AL9:AL70" si="37">ROUND(AF9/$Z9,3)</f>
        <v>0.48199999999999998</v>
      </c>
    </row>
    <row r="10" spans="1:38" x14ac:dyDescent="0.35">
      <c r="A10" s="250">
        <v>4</v>
      </c>
      <c r="B10" s="118">
        <v>61</v>
      </c>
      <c r="C10">
        <v>1</v>
      </c>
      <c r="D10">
        <v>4</v>
      </c>
      <c r="E10" s="125" t="s">
        <v>23</v>
      </c>
      <c r="F10" s="126" t="s">
        <v>19</v>
      </c>
      <c r="G10" s="217" t="s">
        <v>20</v>
      </c>
      <c r="H10" s="34">
        <v>1</v>
      </c>
      <c r="I10" s="131">
        <f t="shared" si="0"/>
        <v>902</v>
      </c>
      <c r="J10" s="66">
        <f t="shared" si="1"/>
        <v>902</v>
      </c>
      <c r="K10" s="127">
        <v>573</v>
      </c>
      <c r="L10" s="128">
        <f t="shared" si="18"/>
        <v>564</v>
      </c>
      <c r="M10" s="129">
        <f t="shared" si="2"/>
        <v>528</v>
      </c>
      <c r="N10" s="129">
        <f t="shared" si="3"/>
        <v>510</v>
      </c>
      <c r="O10" s="129">
        <f t="shared" si="4"/>
        <v>506</v>
      </c>
      <c r="P10" s="130">
        <f t="shared" si="5"/>
        <v>483</v>
      </c>
      <c r="Q10" s="5">
        <f t="shared" si="19"/>
        <v>0.63500000000000001</v>
      </c>
      <c r="R10" s="73">
        <f t="shared" si="20"/>
        <v>0.625</v>
      </c>
      <c r="S10" s="44">
        <f t="shared" si="21"/>
        <v>0.58499999999999996</v>
      </c>
      <c r="T10" s="44">
        <f t="shared" si="22"/>
        <v>0.56499999999999995</v>
      </c>
      <c r="U10" s="44">
        <f t="shared" si="23"/>
        <v>0.56100000000000005</v>
      </c>
      <c r="V10" s="450">
        <f t="shared" si="24"/>
        <v>0.53500000000000003</v>
      </c>
      <c r="Y10" s="439">
        <f t="shared" si="11"/>
        <v>902</v>
      </c>
      <c r="Z10" s="66">
        <f t="shared" si="25"/>
        <v>902</v>
      </c>
      <c r="AA10" s="127">
        <f t="shared" si="26"/>
        <v>573</v>
      </c>
      <c r="AB10" s="128">
        <f t="shared" si="27"/>
        <v>564</v>
      </c>
      <c r="AC10" s="129">
        <f t="shared" si="28"/>
        <v>528</v>
      </c>
      <c r="AD10" s="129">
        <f t="shared" si="29"/>
        <v>510</v>
      </c>
      <c r="AE10" s="129">
        <f t="shared" si="30"/>
        <v>506</v>
      </c>
      <c r="AF10" s="130">
        <f t="shared" si="31"/>
        <v>483</v>
      </c>
      <c r="AG10" s="5">
        <f t="shared" si="32"/>
        <v>0.63500000000000001</v>
      </c>
      <c r="AH10" s="73">
        <f t="shared" si="33"/>
        <v>0.625</v>
      </c>
      <c r="AI10" s="44">
        <f t="shared" si="34"/>
        <v>0.58499999999999996</v>
      </c>
      <c r="AJ10" s="44">
        <f t="shared" si="35"/>
        <v>0.56499999999999995</v>
      </c>
      <c r="AK10" s="44">
        <f t="shared" si="36"/>
        <v>0.56100000000000005</v>
      </c>
      <c r="AL10" s="45">
        <f t="shared" si="37"/>
        <v>0.53500000000000003</v>
      </c>
    </row>
    <row r="11" spans="1:38" x14ac:dyDescent="0.35">
      <c r="A11" s="250">
        <v>15</v>
      </c>
      <c r="B11" s="118">
        <v>201</v>
      </c>
      <c r="C11">
        <v>1</v>
      </c>
      <c r="D11">
        <v>4</v>
      </c>
      <c r="E11" s="125" t="s">
        <v>24</v>
      </c>
      <c r="F11" s="126" t="s">
        <v>19</v>
      </c>
      <c r="G11" s="217" t="s">
        <v>20</v>
      </c>
      <c r="H11" s="34">
        <v>1</v>
      </c>
      <c r="I11" s="131">
        <f t="shared" si="0"/>
        <v>739</v>
      </c>
      <c r="J11" s="66">
        <f t="shared" si="1"/>
        <v>739</v>
      </c>
      <c r="K11" s="127">
        <v>615</v>
      </c>
      <c r="L11" s="128">
        <f t="shared" si="18"/>
        <v>583</v>
      </c>
      <c r="M11" s="129">
        <f t="shared" si="2"/>
        <v>559</v>
      </c>
      <c r="N11" s="129">
        <f t="shared" si="3"/>
        <v>524</v>
      </c>
      <c r="O11" s="129">
        <f t="shared" si="4"/>
        <v>500</v>
      </c>
      <c r="P11" s="130">
        <f t="shared" si="5"/>
        <v>459</v>
      </c>
      <c r="Q11" s="5">
        <f t="shared" si="19"/>
        <v>0.83199999999999996</v>
      </c>
      <c r="R11" s="73">
        <f t="shared" si="20"/>
        <v>0.78900000000000003</v>
      </c>
      <c r="S11" s="44">
        <f t="shared" si="21"/>
        <v>0.75600000000000001</v>
      </c>
      <c r="T11" s="44">
        <f t="shared" si="22"/>
        <v>0.70899999999999996</v>
      </c>
      <c r="U11" s="44">
        <f t="shared" si="23"/>
        <v>0.67700000000000005</v>
      </c>
      <c r="V11" s="450">
        <f t="shared" si="24"/>
        <v>0.621</v>
      </c>
      <c r="Y11" s="439">
        <f t="shared" si="11"/>
        <v>703</v>
      </c>
      <c r="Z11" s="66">
        <f t="shared" si="25"/>
        <v>703</v>
      </c>
      <c r="AA11" s="127">
        <f t="shared" si="26"/>
        <v>615</v>
      </c>
      <c r="AB11" s="128">
        <f t="shared" si="27"/>
        <v>583</v>
      </c>
      <c r="AC11" s="129">
        <f t="shared" si="28"/>
        <v>559</v>
      </c>
      <c r="AD11" s="129">
        <f t="shared" si="29"/>
        <v>524</v>
      </c>
      <c r="AE11" s="129">
        <f t="shared" si="30"/>
        <v>500</v>
      </c>
      <c r="AF11" s="130">
        <f t="shared" si="31"/>
        <v>459</v>
      </c>
      <c r="AG11" s="5">
        <f t="shared" si="32"/>
        <v>0.875</v>
      </c>
      <c r="AH11" s="73">
        <f t="shared" si="33"/>
        <v>0.82899999999999996</v>
      </c>
      <c r="AI11" s="44">
        <f t="shared" si="34"/>
        <v>0.79500000000000004</v>
      </c>
      <c r="AJ11" s="44">
        <f t="shared" si="35"/>
        <v>0.745</v>
      </c>
      <c r="AK11" s="44">
        <f t="shared" si="36"/>
        <v>0.71099999999999997</v>
      </c>
      <c r="AL11" s="45">
        <f t="shared" si="37"/>
        <v>0.65300000000000002</v>
      </c>
    </row>
    <row r="12" spans="1:38" x14ac:dyDescent="0.35">
      <c r="A12" s="250">
        <v>58</v>
      </c>
      <c r="B12" s="118">
        <v>4051</v>
      </c>
      <c r="C12">
        <v>2</v>
      </c>
      <c r="D12">
        <v>4</v>
      </c>
      <c r="E12" s="125" t="s">
        <v>25</v>
      </c>
      <c r="F12" s="126" t="s">
        <v>19</v>
      </c>
      <c r="G12" s="217" t="s">
        <v>20</v>
      </c>
      <c r="H12" s="34">
        <v>1</v>
      </c>
      <c r="I12" s="131">
        <f t="shared" si="0"/>
        <v>761</v>
      </c>
      <c r="J12" s="66">
        <f t="shared" si="1"/>
        <v>761</v>
      </c>
      <c r="K12" s="127">
        <v>412</v>
      </c>
      <c r="L12" s="128">
        <f t="shared" si="18"/>
        <v>402</v>
      </c>
      <c r="M12" s="129">
        <f t="shared" si="2"/>
        <v>377</v>
      </c>
      <c r="N12" s="129">
        <f t="shared" si="3"/>
        <v>355</v>
      </c>
      <c r="O12" s="129">
        <f t="shared" si="4"/>
        <v>336</v>
      </c>
      <c r="P12" s="130">
        <f t="shared" si="5"/>
        <v>318</v>
      </c>
      <c r="Q12" s="5">
        <f t="shared" si="19"/>
        <v>0.54100000000000004</v>
      </c>
      <c r="R12" s="73">
        <f t="shared" si="20"/>
        <v>0.52800000000000002</v>
      </c>
      <c r="S12" s="44">
        <f t="shared" si="21"/>
        <v>0.495</v>
      </c>
      <c r="T12" s="44">
        <f t="shared" si="22"/>
        <v>0.46600000000000003</v>
      </c>
      <c r="U12" s="44">
        <f t="shared" si="23"/>
        <v>0.442</v>
      </c>
      <c r="V12" s="450">
        <f t="shared" si="24"/>
        <v>0.41799999999999998</v>
      </c>
      <c r="Y12" s="439">
        <f t="shared" si="11"/>
        <v>761</v>
      </c>
      <c r="Z12" s="66">
        <f t="shared" si="25"/>
        <v>761</v>
      </c>
      <c r="AA12" s="127">
        <f t="shared" si="26"/>
        <v>412</v>
      </c>
      <c r="AB12" s="128">
        <f t="shared" si="27"/>
        <v>402</v>
      </c>
      <c r="AC12" s="129">
        <f t="shared" si="28"/>
        <v>377</v>
      </c>
      <c r="AD12" s="129">
        <f t="shared" si="29"/>
        <v>355</v>
      </c>
      <c r="AE12" s="129">
        <f t="shared" si="30"/>
        <v>336</v>
      </c>
      <c r="AF12" s="130">
        <f t="shared" si="31"/>
        <v>318</v>
      </c>
      <c r="AG12" s="5">
        <f t="shared" si="32"/>
        <v>0.54100000000000004</v>
      </c>
      <c r="AH12" s="73">
        <f t="shared" si="33"/>
        <v>0.52800000000000002</v>
      </c>
      <c r="AI12" s="44">
        <f t="shared" si="34"/>
        <v>0.495</v>
      </c>
      <c r="AJ12" s="44">
        <f t="shared" si="35"/>
        <v>0.46600000000000003</v>
      </c>
      <c r="AK12" s="44">
        <f t="shared" si="36"/>
        <v>0.442</v>
      </c>
      <c r="AL12" s="45">
        <f t="shared" si="37"/>
        <v>0.41799999999999998</v>
      </c>
    </row>
    <row r="13" spans="1:38" x14ac:dyDescent="0.35">
      <c r="A13" s="250">
        <v>18</v>
      </c>
      <c r="B13" s="118">
        <v>1041</v>
      </c>
      <c r="C13">
        <v>2</v>
      </c>
      <c r="D13">
        <v>4</v>
      </c>
      <c r="E13" s="125" t="s">
        <v>26</v>
      </c>
      <c r="F13" s="126" t="s">
        <v>19</v>
      </c>
      <c r="G13" s="217" t="s">
        <v>20</v>
      </c>
      <c r="H13" s="34">
        <v>1</v>
      </c>
      <c r="I13" s="42">
        <f t="shared" si="0"/>
        <v>787</v>
      </c>
      <c r="J13" s="66">
        <f t="shared" si="1"/>
        <v>787</v>
      </c>
      <c r="K13" s="127">
        <v>511</v>
      </c>
      <c r="L13" s="128">
        <f t="shared" si="18"/>
        <v>472</v>
      </c>
      <c r="M13" s="129">
        <f t="shared" si="2"/>
        <v>507</v>
      </c>
      <c r="N13" s="129">
        <f t="shared" si="3"/>
        <v>530</v>
      </c>
      <c r="O13" s="129">
        <f t="shared" si="4"/>
        <v>553</v>
      </c>
      <c r="P13" s="130">
        <f t="shared" si="5"/>
        <v>574</v>
      </c>
      <c r="Q13" s="5">
        <f t="shared" si="19"/>
        <v>0.64900000000000002</v>
      </c>
      <c r="R13" s="73">
        <f t="shared" si="20"/>
        <v>0.6</v>
      </c>
      <c r="S13" s="44">
        <f t="shared" si="21"/>
        <v>0.64400000000000002</v>
      </c>
      <c r="T13" s="44">
        <f t="shared" si="22"/>
        <v>0.67300000000000004</v>
      </c>
      <c r="U13" s="44">
        <f t="shared" si="23"/>
        <v>0.70299999999999996</v>
      </c>
      <c r="V13" s="450">
        <f t="shared" si="24"/>
        <v>0.72899999999999998</v>
      </c>
      <c r="Y13" s="61">
        <f t="shared" si="11"/>
        <v>649</v>
      </c>
      <c r="Z13" s="66">
        <f t="shared" si="25"/>
        <v>649</v>
      </c>
      <c r="AA13" s="127">
        <f t="shared" si="26"/>
        <v>511</v>
      </c>
      <c r="AB13" s="128">
        <f t="shared" si="27"/>
        <v>472</v>
      </c>
      <c r="AC13" s="129">
        <f t="shared" si="28"/>
        <v>507</v>
      </c>
      <c r="AD13" s="129">
        <f t="shared" si="29"/>
        <v>530</v>
      </c>
      <c r="AE13" s="129">
        <f t="shared" si="30"/>
        <v>553</v>
      </c>
      <c r="AF13" s="130">
        <f t="shared" si="31"/>
        <v>574</v>
      </c>
      <c r="AG13" s="5">
        <f t="shared" si="32"/>
        <v>0.78700000000000003</v>
      </c>
      <c r="AH13" s="73">
        <f t="shared" si="33"/>
        <v>0.72699999999999998</v>
      </c>
      <c r="AI13" s="44">
        <f t="shared" si="34"/>
        <v>0.78100000000000003</v>
      </c>
      <c r="AJ13" s="44">
        <f t="shared" si="35"/>
        <v>0.81699999999999995</v>
      </c>
      <c r="AK13" s="44">
        <f t="shared" si="36"/>
        <v>0.85199999999999998</v>
      </c>
      <c r="AL13" s="45">
        <f t="shared" si="37"/>
        <v>0.88400000000000001</v>
      </c>
    </row>
    <row r="14" spans="1:38" x14ac:dyDescent="0.35">
      <c r="A14" s="250">
        <v>65</v>
      </c>
      <c r="B14" s="118">
        <v>5031</v>
      </c>
      <c r="C14">
        <v>2</v>
      </c>
      <c r="D14">
        <v>4</v>
      </c>
      <c r="E14" s="125" t="s">
        <v>27</v>
      </c>
      <c r="F14" s="126" t="s">
        <v>19</v>
      </c>
      <c r="G14" s="217" t="s">
        <v>20</v>
      </c>
      <c r="H14" s="34">
        <v>1</v>
      </c>
      <c r="I14" s="131">
        <f t="shared" si="0"/>
        <v>570</v>
      </c>
      <c r="J14" s="66">
        <f t="shared" si="1"/>
        <v>570</v>
      </c>
      <c r="K14" s="77">
        <v>266</v>
      </c>
      <c r="L14" s="663"/>
      <c r="M14" s="664"/>
      <c r="N14" s="664"/>
      <c r="O14" s="664"/>
      <c r="P14" s="665"/>
      <c r="Q14" s="5">
        <f t="shared" si="19"/>
        <v>0.46700000000000003</v>
      </c>
      <c r="R14" s="666">
        <f t="shared" si="20"/>
        <v>0</v>
      </c>
      <c r="S14" s="667">
        <f t="shared" si="21"/>
        <v>0</v>
      </c>
      <c r="T14" s="667">
        <f t="shared" si="22"/>
        <v>0</v>
      </c>
      <c r="U14" s="667">
        <f t="shared" si="23"/>
        <v>0</v>
      </c>
      <c r="V14" s="668">
        <f t="shared" si="24"/>
        <v>0</v>
      </c>
      <c r="Y14" s="439">
        <f t="shared" si="11"/>
        <v>570</v>
      </c>
      <c r="Z14" s="66">
        <f t="shared" si="25"/>
        <v>570</v>
      </c>
      <c r="AA14" s="77">
        <f t="shared" si="26"/>
        <v>266</v>
      </c>
      <c r="AB14" s="61">
        <f t="shared" si="27"/>
        <v>0</v>
      </c>
      <c r="AC14" s="43">
        <f t="shared" si="28"/>
        <v>0</v>
      </c>
      <c r="AD14" s="43">
        <f t="shared" si="29"/>
        <v>0</v>
      </c>
      <c r="AE14" s="43">
        <f t="shared" si="30"/>
        <v>0</v>
      </c>
      <c r="AF14" s="66">
        <f t="shared" si="31"/>
        <v>0</v>
      </c>
      <c r="AG14" s="5">
        <f t="shared" si="32"/>
        <v>0.46700000000000003</v>
      </c>
      <c r="AH14" s="73">
        <f t="shared" si="33"/>
        <v>0</v>
      </c>
      <c r="AI14" s="44">
        <f t="shared" si="34"/>
        <v>0</v>
      </c>
      <c r="AJ14" s="44">
        <f t="shared" si="35"/>
        <v>0</v>
      </c>
      <c r="AK14" s="44">
        <f t="shared" si="36"/>
        <v>0</v>
      </c>
      <c r="AL14" s="45">
        <f t="shared" si="37"/>
        <v>0</v>
      </c>
    </row>
    <row r="15" spans="1:38" x14ac:dyDescent="0.35">
      <c r="A15" s="250">
        <v>61</v>
      </c>
      <c r="B15" s="118">
        <v>4121</v>
      </c>
      <c r="C15">
        <v>2</v>
      </c>
      <c r="D15">
        <v>4</v>
      </c>
      <c r="E15" s="125" t="s">
        <v>28</v>
      </c>
      <c r="F15" s="126" t="s">
        <v>19</v>
      </c>
      <c r="G15" s="217" t="s">
        <v>20</v>
      </c>
      <c r="H15" s="34">
        <v>1</v>
      </c>
      <c r="I15" s="131">
        <f t="shared" si="0"/>
        <v>751</v>
      </c>
      <c r="J15" s="66">
        <f t="shared" si="1"/>
        <v>751</v>
      </c>
      <c r="K15" s="77">
        <v>591</v>
      </c>
      <c r="L15" s="61">
        <f t="shared" si="18"/>
        <v>581</v>
      </c>
      <c r="M15" s="43">
        <f t="shared" si="2"/>
        <v>552</v>
      </c>
      <c r="N15" s="43">
        <f t="shared" si="3"/>
        <v>536</v>
      </c>
      <c r="O15" s="43">
        <f t="shared" si="4"/>
        <v>506</v>
      </c>
      <c r="P15" s="66">
        <f t="shared" si="5"/>
        <v>499</v>
      </c>
      <c r="Q15" s="5">
        <f t="shared" si="19"/>
        <v>0.78700000000000003</v>
      </c>
      <c r="R15" s="73">
        <f t="shared" si="20"/>
        <v>0.77400000000000002</v>
      </c>
      <c r="S15" s="44">
        <f t="shared" si="21"/>
        <v>0.73499999999999999</v>
      </c>
      <c r="T15" s="44">
        <f t="shared" si="22"/>
        <v>0.71399999999999997</v>
      </c>
      <c r="U15" s="44">
        <f t="shared" si="23"/>
        <v>0.67400000000000004</v>
      </c>
      <c r="V15" s="450">
        <f t="shared" si="24"/>
        <v>0.66400000000000003</v>
      </c>
      <c r="Y15" s="439">
        <f t="shared" si="11"/>
        <v>751</v>
      </c>
      <c r="Z15" s="66">
        <f t="shared" si="25"/>
        <v>751</v>
      </c>
      <c r="AA15" s="77">
        <f t="shared" si="26"/>
        <v>591</v>
      </c>
      <c r="AB15" s="61">
        <f t="shared" si="27"/>
        <v>581</v>
      </c>
      <c r="AC15" s="43">
        <f t="shared" si="28"/>
        <v>552</v>
      </c>
      <c r="AD15" s="43">
        <f t="shared" si="29"/>
        <v>536</v>
      </c>
      <c r="AE15" s="43">
        <f t="shared" si="30"/>
        <v>506</v>
      </c>
      <c r="AF15" s="66">
        <f t="shared" si="31"/>
        <v>499</v>
      </c>
      <c r="AG15" s="5">
        <f t="shared" si="32"/>
        <v>0.78700000000000003</v>
      </c>
      <c r="AH15" s="73">
        <f t="shared" si="33"/>
        <v>0.77400000000000002</v>
      </c>
      <c r="AI15" s="44">
        <f t="shared" si="34"/>
        <v>0.73499999999999999</v>
      </c>
      <c r="AJ15" s="44">
        <f t="shared" si="35"/>
        <v>0.71399999999999997</v>
      </c>
      <c r="AK15" s="44">
        <f t="shared" si="36"/>
        <v>0.67400000000000004</v>
      </c>
      <c r="AL15" s="45">
        <f t="shared" si="37"/>
        <v>0.66400000000000003</v>
      </c>
    </row>
    <row r="16" spans="1:38" x14ac:dyDescent="0.35">
      <c r="A16" s="250">
        <v>14</v>
      </c>
      <c r="B16" s="118">
        <v>191</v>
      </c>
      <c r="C16">
        <v>1</v>
      </c>
      <c r="D16">
        <v>4</v>
      </c>
      <c r="E16" s="125" t="s">
        <v>29</v>
      </c>
      <c r="F16" s="126" t="s">
        <v>19</v>
      </c>
      <c r="G16" s="217" t="s">
        <v>20</v>
      </c>
      <c r="H16" s="34">
        <v>1</v>
      </c>
      <c r="I16" s="131">
        <f t="shared" si="0"/>
        <v>573</v>
      </c>
      <c r="J16" s="66">
        <f t="shared" si="1"/>
        <v>573</v>
      </c>
      <c r="K16" s="127">
        <v>436</v>
      </c>
      <c r="L16" s="128">
        <f t="shared" si="18"/>
        <v>438</v>
      </c>
      <c r="M16" s="129">
        <f t="shared" si="2"/>
        <v>418</v>
      </c>
      <c r="N16" s="129">
        <f t="shared" si="3"/>
        <v>402</v>
      </c>
      <c r="O16" s="129">
        <f t="shared" si="4"/>
        <v>411</v>
      </c>
      <c r="P16" s="130">
        <f t="shared" si="5"/>
        <v>412</v>
      </c>
      <c r="Q16" s="5">
        <f t="shared" si="19"/>
        <v>0.76100000000000001</v>
      </c>
      <c r="R16" s="73">
        <f t="shared" si="20"/>
        <v>0.76400000000000001</v>
      </c>
      <c r="S16" s="44">
        <f t="shared" si="21"/>
        <v>0.72899999999999998</v>
      </c>
      <c r="T16" s="44">
        <f t="shared" si="22"/>
        <v>0.70199999999999996</v>
      </c>
      <c r="U16" s="44">
        <f t="shared" si="23"/>
        <v>0.71699999999999997</v>
      </c>
      <c r="V16" s="450">
        <f t="shared" si="24"/>
        <v>0.71899999999999997</v>
      </c>
      <c r="Y16" s="439">
        <f t="shared" si="11"/>
        <v>551</v>
      </c>
      <c r="Z16" s="66">
        <f t="shared" si="25"/>
        <v>551</v>
      </c>
      <c r="AA16" s="127">
        <f t="shared" si="26"/>
        <v>436</v>
      </c>
      <c r="AB16" s="128">
        <f t="shared" si="27"/>
        <v>438</v>
      </c>
      <c r="AC16" s="129">
        <f t="shared" si="28"/>
        <v>418</v>
      </c>
      <c r="AD16" s="129">
        <f t="shared" si="29"/>
        <v>402</v>
      </c>
      <c r="AE16" s="129">
        <f t="shared" si="30"/>
        <v>411</v>
      </c>
      <c r="AF16" s="130">
        <f t="shared" si="31"/>
        <v>412</v>
      </c>
      <c r="AG16" s="5">
        <f t="shared" si="32"/>
        <v>0.79100000000000004</v>
      </c>
      <c r="AH16" s="73">
        <f t="shared" si="33"/>
        <v>0.79500000000000004</v>
      </c>
      <c r="AI16" s="44">
        <f t="shared" si="34"/>
        <v>0.75900000000000001</v>
      </c>
      <c r="AJ16" s="44">
        <f t="shared" si="35"/>
        <v>0.73</v>
      </c>
      <c r="AK16" s="44">
        <f t="shared" si="36"/>
        <v>0.746</v>
      </c>
      <c r="AL16" s="45">
        <f t="shared" si="37"/>
        <v>0.748</v>
      </c>
    </row>
    <row r="17" spans="1:38" x14ac:dyDescent="0.35">
      <c r="A17" s="250">
        <v>38</v>
      </c>
      <c r="B17" s="118">
        <v>2131</v>
      </c>
      <c r="C17">
        <v>3</v>
      </c>
      <c r="D17">
        <v>4</v>
      </c>
      <c r="E17" s="132" t="s">
        <v>30</v>
      </c>
      <c r="F17" s="133" t="s">
        <v>19</v>
      </c>
      <c r="G17" s="218" t="s">
        <v>20</v>
      </c>
      <c r="H17" s="31">
        <v>1</v>
      </c>
      <c r="I17" s="42">
        <f t="shared" si="0"/>
        <v>751</v>
      </c>
      <c r="J17" s="66">
        <f t="shared" si="1"/>
        <v>751</v>
      </c>
      <c r="K17" s="127">
        <v>601</v>
      </c>
      <c r="L17" s="128">
        <f t="shared" si="18"/>
        <v>579</v>
      </c>
      <c r="M17" s="129">
        <f t="shared" si="2"/>
        <v>595</v>
      </c>
      <c r="N17" s="129">
        <f t="shared" si="3"/>
        <v>620</v>
      </c>
      <c r="O17" s="129">
        <f t="shared" si="4"/>
        <v>638</v>
      </c>
      <c r="P17" s="130">
        <f t="shared" si="5"/>
        <v>616</v>
      </c>
      <c r="Q17" s="5">
        <f t="shared" si="19"/>
        <v>0.8</v>
      </c>
      <c r="R17" s="73">
        <f t="shared" si="20"/>
        <v>0.77100000000000002</v>
      </c>
      <c r="S17" s="44">
        <f t="shared" si="21"/>
        <v>0.79200000000000004</v>
      </c>
      <c r="T17" s="44">
        <f t="shared" si="22"/>
        <v>0.82599999999999996</v>
      </c>
      <c r="U17" s="44">
        <f t="shared" si="23"/>
        <v>0.85</v>
      </c>
      <c r="V17" s="450">
        <f t="shared" si="24"/>
        <v>0.82</v>
      </c>
      <c r="Y17" s="61">
        <f t="shared" si="11"/>
        <v>685</v>
      </c>
      <c r="Z17" s="66">
        <f t="shared" si="25"/>
        <v>685</v>
      </c>
      <c r="AA17" s="127">
        <f t="shared" si="26"/>
        <v>601</v>
      </c>
      <c r="AB17" s="128">
        <f t="shared" si="27"/>
        <v>579</v>
      </c>
      <c r="AC17" s="129">
        <f t="shared" si="28"/>
        <v>595</v>
      </c>
      <c r="AD17" s="129">
        <f t="shared" si="29"/>
        <v>620</v>
      </c>
      <c r="AE17" s="129">
        <f t="shared" si="30"/>
        <v>638</v>
      </c>
      <c r="AF17" s="130">
        <f t="shared" si="31"/>
        <v>616</v>
      </c>
      <c r="AG17" s="5">
        <f t="shared" si="32"/>
        <v>0.877</v>
      </c>
      <c r="AH17" s="73">
        <f t="shared" si="33"/>
        <v>0.84499999999999997</v>
      </c>
      <c r="AI17" s="44">
        <f t="shared" si="34"/>
        <v>0.86899999999999999</v>
      </c>
      <c r="AJ17" s="44">
        <f t="shared" si="35"/>
        <v>0.90500000000000003</v>
      </c>
      <c r="AK17" s="44">
        <f t="shared" si="36"/>
        <v>0.93100000000000005</v>
      </c>
      <c r="AL17" s="45">
        <f t="shared" si="37"/>
        <v>0.89900000000000002</v>
      </c>
    </row>
    <row r="18" spans="1:38" x14ac:dyDescent="0.35">
      <c r="A18" s="250">
        <v>6</v>
      </c>
      <c r="B18" s="118">
        <v>91</v>
      </c>
      <c r="C18">
        <v>1</v>
      </c>
      <c r="D18">
        <v>4</v>
      </c>
      <c r="E18" s="125" t="s">
        <v>31</v>
      </c>
      <c r="F18" s="126" t="s">
        <v>19</v>
      </c>
      <c r="G18" s="217" t="s">
        <v>20</v>
      </c>
      <c r="H18" s="34">
        <v>1</v>
      </c>
      <c r="I18" s="131">
        <f t="shared" si="0"/>
        <v>711</v>
      </c>
      <c r="J18" s="66">
        <f t="shared" si="1"/>
        <v>711</v>
      </c>
      <c r="K18" s="77">
        <v>473</v>
      </c>
      <c r="L18" s="61">
        <f t="shared" si="18"/>
        <v>442</v>
      </c>
      <c r="M18" s="43">
        <f t="shared" si="2"/>
        <v>449</v>
      </c>
      <c r="N18" s="43">
        <f t="shared" si="3"/>
        <v>442</v>
      </c>
      <c r="O18" s="43">
        <f t="shared" si="4"/>
        <v>447</v>
      </c>
      <c r="P18" s="66">
        <f t="shared" si="5"/>
        <v>453</v>
      </c>
      <c r="Q18" s="5">
        <f t="shared" si="19"/>
        <v>0.66500000000000004</v>
      </c>
      <c r="R18" s="73">
        <f t="shared" si="20"/>
        <v>0.622</v>
      </c>
      <c r="S18" s="44">
        <f t="shared" si="21"/>
        <v>0.63200000000000001</v>
      </c>
      <c r="T18" s="44">
        <f t="shared" si="22"/>
        <v>0.622</v>
      </c>
      <c r="U18" s="44">
        <f t="shared" si="23"/>
        <v>0.629</v>
      </c>
      <c r="V18" s="450">
        <f t="shared" si="24"/>
        <v>0.63700000000000001</v>
      </c>
      <c r="Y18" s="439">
        <f t="shared" si="11"/>
        <v>645</v>
      </c>
      <c r="Z18" s="66">
        <f t="shared" si="25"/>
        <v>645</v>
      </c>
      <c r="AA18" s="77">
        <f t="shared" si="26"/>
        <v>473</v>
      </c>
      <c r="AB18" s="61">
        <f t="shared" si="27"/>
        <v>442</v>
      </c>
      <c r="AC18" s="43">
        <f t="shared" si="28"/>
        <v>449</v>
      </c>
      <c r="AD18" s="43">
        <f t="shared" si="29"/>
        <v>442</v>
      </c>
      <c r="AE18" s="43">
        <f t="shared" si="30"/>
        <v>447</v>
      </c>
      <c r="AF18" s="66">
        <f t="shared" si="31"/>
        <v>453</v>
      </c>
      <c r="AG18" s="5">
        <f t="shared" si="32"/>
        <v>0.73299999999999998</v>
      </c>
      <c r="AH18" s="73">
        <f t="shared" si="33"/>
        <v>0.68500000000000005</v>
      </c>
      <c r="AI18" s="44">
        <f t="shared" si="34"/>
        <v>0.69599999999999995</v>
      </c>
      <c r="AJ18" s="44">
        <f t="shared" si="35"/>
        <v>0.68500000000000005</v>
      </c>
      <c r="AK18" s="44">
        <f t="shared" si="36"/>
        <v>0.69299999999999995</v>
      </c>
      <c r="AL18" s="45">
        <f t="shared" si="37"/>
        <v>0.70199999999999996</v>
      </c>
    </row>
    <row r="19" spans="1:38" x14ac:dyDescent="0.35">
      <c r="A19" s="250">
        <v>75</v>
      </c>
      <c r="B19" s="118">
        <v>6141</v>
      </c>
      <c r="C19">
        <v>4</v>
      </c>
      <c r="D19">
        <v>4</v>
      </c>
      <c r="E19" s="125" t="s">
        <v>32</v>
      </c>
      <c r="F19" s="126" t="s">
        <v>19</v>
      </c>
      <c r="G19" s="217" t="s">
        <v>20</v>
      </c>
      <c r="H19" s="34">
        <v>1</v>
      </c>
      <c r="I19" s="42">
        <f t="shared" si="0"/>
        <v>1048</v>
      </c>
      <c r="J19" s="66">
        <f t="shared" si="1"/>
        <v>1048</v>
      </c>
      <c r="K19" s="77">
        <v>476</v>
      </c>
      <c r="L19" s="61">
        <f t="shared" si="18"/>
        <v>408</v>
      </c>
      <c r="M19" s="43">
        <f t="shared" si="2"/>
        <v>393</v>
      </c>
      <c r="N19" s="43">
        <f t="shared" si="3"/>
        <v>386</v>
      </c>
      <c r="O19" s="43">
        <f t="shared" si="4"/>
        <v>362</v>
      </c>
      <c r="P19" s="66">
        <f t="shared" si="5"/>
        <v>360</v>
      </c>
      <c r="Q19" s="5">
        <f t="shared" si="19"/>
        <v>0.45400000000000001</v>
      </c>
      <c r="R19" s="73">
        <f t="shared" si="20"/>
        <v>0.38900000000000001</v>
      </c>
      <c r="S19" s="44">
        <f t="shared" si="21"/>
        <v>0.375</v>
      </c>
      <c r="T19" s="44">
        <f t="shared" si="22"/>
        <v>0.36799999999999999</v>
      </c>
      <c r="U19" s="44">
        <f t="shared" si="23"/>
        <v>0.34499999999999997</v>
      </c>
      <c r="V19" s="450">
        <f t="shared" si="24"/>
        <v>0.34399999999999997</v>
      </c>
      <c r="Y19" s="61">
        <f t="shared" si="11"/>
        <v>1048</v>
      </c>
      <c r="Z19" s="66">
        <f t="shared" si="25"/>
        <v>1048</v>
      </c>
      <c r="AA19" s="77">
        <f t="shared" si="26"/>
        <v>476</v>
      </c>
      <c r="AB19" s="61">
        <f t="shared" si="27"/>
        <v>408</v>
      </c>
      <c r="AC19" s="43">
        <f t="shared" si="28"/>
        <v>393</v>
      </c>
      <c r="AD19" s="43">
        <f t="shared" si="29"/>
        <v>386</v>
      </c>
      <c r="AE19" s="43">
        <f t="shared" si="30"/>
        <v>362</v>
      </c>
      <c r="AF19" s="66">
        <f t="shared" si="31"/>
        <v>360</v>
      </c>
      <c r="AG19" s="5">
        <f t="shared" si="32"/>
        <v>0.45400000000000001</v>
      </c>
      <c r="AH19" s="73">
        <f t="shared" si="33"/>
        <v>0.38900000000000001</v>
      </c>
      <c r="AI19" s="44">
        <f t="shared" si="34"/>
        <v>0.375</v>
      </c>
      <c r="AJ19" s="44">
        <f t="shared" si="35"/>
        <v>0.36799999999999999</v>
      </c>
      <c r="AK19" s="44">
        <f t="shared" si="36"/>
        <v>0.34499999999999997</v>
      </c>
      <c r="AL19" s="45">
        <f t="shared" si="37"/>
        <v>0.34399999999999997</v>
      </c>
    </row>
    <row r="20" spans="1:38" x14ac:dyDescent="0.35">
      <c r="A20" s="250">
        <v>51</v>
      </c>
      <c r="B20" s="118">
        <v>3091</v>
      </c>
      <c r="C20">
        <v>4</v>
      </c>
      <c r="D20">
        <v>4</v>
      </c>
      <c r="E20" s="125" t="s">
        <v>33</v>
      </c>
      <c r="F20" s="126" t="s">
        <v>19</v>
      </c>
      <c r="G20" s="217" t="s">
        <v>20</v>
      </c>
      <c r="H20" s="34">
        <v>1</v>
      </c>
      <c r="I20" s="42">
        <f t="shared" si="0"/>
        <v>773</v>
      </c>
      <c r="J20" s="66">
        <f t="shared" si="1"/>
        <v>773</v>
      </c>
      <c r="K20" s="77">
        <v>444</v>
      </c>
      <c r="L20" s="61">
        <f t="shared" si="18"/>
        <v>409</v>
      </c>
      <c r="M20" s="43">
        <f t="shared" si="2"/>
        <v>417</v>
      </c>
      <c r="N20" s="43">
        <f t="shared" si="3"/>
        <v>421</v>
      </c>
      <c r="O20" s="43">
        <f t="shared" si="4"/>
        <v>434</v>
      </c>
      <c r="P20" s="66">
        <f t="shared" si="5"/>
        <v>428</v>
      </c>
      <c r="Q20" s="5">
        <f t="shared" si="19"/>
        <v>0.57399999999999995</v>
      </c>
      <c r="R20" s="73">
        <f t="shared" si="20"/>
        <v>0.52900000000000003</v>
      </c>
      <c r="S20" s="44">
        <f t="shared" si="21"/>
        <v>0.53900000000000003</v>
      </c>
      <c r="T20" s="44">
        <f t="shared" si="22"/>
        <v>0.54500000000000004</v>
      </c>
      <c r="U20" s="44">
        <f t="shared" si="23"/>
        <v>0.56100000000000005</v>
      </c>
      <c r="V20" s="450">
        <f t="shared" si="24"/>
        <v>0.55400000000000005</v>
      </c>
      <c r="Y20" s="61">
        <f t="shared" si="11"/>
        <v>707</v>
      </c>
      <c r="Z20" s="66">
        <f t="shared" si="25"/>
        <v>707</v>
      </c>
      <c r="AA20" s="77">
        <f t="shared" si="26"/>
        <v>444</v>
      </c>
      <c r="AB20" s="61">
        <f t="shared" si="27"/>
        <v>409</v>
      </c>
      <c r="AC20" s="43">
        <f t="shared" si="28"/>
        <v>417</v>
      </c>
      <c r="AD20" s="43">
        <f t="shared" si="29"/>
        <v>421</v>
      </c>
      <c r="AE20" s="43">
        <f t="shared" si="30"/>
        <v>434</v>
      </c>
      <c r="AF20" s="66">
        <f t="shared" si="31"/>
        <v>428</v>
      </c>
      <c r="AG20" s="5">
        <f t="shared" si="32"/>
        <v>0.628</v>
      </c>
      <c r="AH20" s="73">
        <f t="shared" si="33"/>
        <v>0.57899999999999996</v>
      </c>
      <c r="AI20" s="44">
        <f t="shared" si="34"/>
        <v>0.59</v>
      </c>
      <c r="AJ20" s="44">
        <f t="shared" si="35"/>
        <v>0.59499999999999997</v>
      </c>
      <c r="AK20" s="44">
        <f t="shared" si="36"/>
        <v>0.61399999999999999</v>
      </c>
      <c r="AL20" s="45">
        <f t="shared" si="37"/>
        <v>0.60499999999999998</v>
      </c>
    </row>
    <row r="21" spans="1:38" x14ac:dyDescent="0.35">
      <c r="A21" s="250">
        <v>39</v>
      </c>
      <c r="B21" s="118">
        <v>2151</v>
      </c>
      <c r="C21">
        <v>5</v>
      </c>
      <c r="D21">
        <v>4</v>
      </c>
      <c r="E21" s="132" t="s">
        <v>34</v>
      </c>
      <c r="F21" s="133" t="s">
        <v>19</v>
      </c>
      <c r="G21" s="218" t="s">
        <v>20</v>
      </c>
      <c r="H21" s="31">
        <v>1</v>
      </c>
      <c r="I21" s="42">
        <f t="shared" si="0"/>
        <v>980</v>
      </c>
      <c r="J21" s="66">
        <f t="shared" si="1"/>
        <v>980</v>
      </c>
      <c r="K21" s="127">
        <v>682</v>
      </c>
      <c r="L21" s="128">
        <f t="shared" si="18"/>
        <v>680</v>
      </c>
      <c r="M21" s="129">
        <f t="shared" si="2"/>
        <v>684</v>
      </c>
      <c r="N21" s="129">
        <f t="shared" si="3"/>
        <v>660</v>
      </c>
      <c r="O21" s="129">
        <f t="shared" si="4"/>
        <v>682</v>
      </c>
      <c r="P21" s="130">
        <f t="shared" si="5"/>
        <v>704</v>
      </c>
      <c r="Q21" s="5">
        <f t="shared" si="19"/>
        <v>0.69599999999999995</v>
      </c>
      <c r="R21" s="73">
        <f t="shared" si="20"/>
        <v>0.69399999999999995</v>
      </c>
      <c r="S21" s="44">
        <f t="shared" si="21"/>
        <v>0.69799999999999995</v>
      </c>
      <c r="T21" s="44">
        <f t="shared" si="22"/>
        <v>0.67300000000000004</v>
      </c>
      <c r="U21" s="44">
        <f t="shared" si="23"/>
        <v>0.69599999999999995</v>
      </c>
      <c r="V21" s="450">
        <f t="shared" si="24"/>
        <v>0.71799999999999997</v>
      </c>
      <c r="Y21" s="61">
        <f t="shared" si="11"/>
        <v>826</v>
      </c>
      <c r="Z21" s="66">
        <f t="shared" si="25"/>
        <v>826</v>
      </c>
      <c r="AA21" s="127">
        <f t="shared" si="26"/>
        <v>682</v>
      </c>
      <c r="AB21" s="128">
        <f t="shared" si="27"/>
        <v>680</v>
      </c>
      <c r="AC21" s="129">
        <f t="shared" si="28"/>
        <v>684</v>
      </c>
      <c r="AD21" s="129">
        <f t="shared" si="29"/>
        <v>660</v>
      </c>
      <c r="AE21" s="129">
        <f t="shared" si="30"/>
        <v>682</v>
      </c>
      <c r="AF21" s="130">
        <f t="shared" si="31"/>
        <v>704</v>
      </c>
      <c r="AG21" s="5">
        <f t="shared" si="32"/>
        <v>0.82599999999999996</v>
      </c>
      <c r="AH21" s="73">
        <f t="shared" si="33"/>
        <v>0.82299999999999995</v>
      </c>
      <c r="AI21" s="44">
        <f t="shared" si="34"/>
        <v>0.82799999999999996</v>
      </c>
      <c r="AJ21" s="44">
        <f t="shared" si="35"/>
        <v>0.79900000000000004</v>
      </c>
      <c r="AK21" s="44">
        <f t="shared" si="36"/>
        <v>0.82599999999999996</v>
      </c>
      <c r="AL21" s="45">
        <f t="shared" si="37"/>
        <v>0.85199999999999998</v>
      </c>
    </row>
    <row r="22" spans="1:38" x14ac:dyDescent="0.35">
      <c r="A22" s="250">
        <v>19</v>
      </c>
      <c r="B22" s="118">
        <v>1051</v>
      </c>
      <c r="C22">
        <v>2</v>
      </c>
      <c r="D22">
        <v>4</v>
      </c>
      <c r="E22" s="125" t="s">
        <v>35</v>
      </c>
      <c r="F22" s="126" t="s">
        <v>19</v>
      </c>
      <c r="G22" s="217" t="s">
        <v>20</v>
      </c>
      <c r="H22" s="34">
        <v>1</v>
      </c>
      <c r="I22" s="42">
        <f t="shared" si="0"/>
        <v>968</v>
      </c>
      <c r="J22" s="66">
        <f t="shared" si="1"/>
        <v>968</v>
      </c>
      <c r="K22" s="77">
        <v>693</v>
      </c>
      <c r="L22" s="61">
        <f t="shared" si="18"/>
        <v>679</v>
      </c>
      <c r="M22" s="43">
        <f t="shared" si="2"/>
        <v>671</v>
      </c>
      <c r="N22" s="43">
        <f t="shared" si="3"/>
        <v>624</v>
      </c>
      <c r="O22" s="43">
        <f t="shared" si="4"/>
        <v>576</v>
      </c>
      <c r="P22" s="66">
        <f t="shared" si="5"/>
        <v>551</v>
      </c>
      <c r="Q22" s="5">
        <f t="shared" si="19"/>
        <v>0.71599999999999997</v>
      </c>
      <c r="R22" s="73">
        <f t="shared" si="20"/>
        <v>0.70099999999999996</v>
      </c>
      <c r="S22" s="44">
        <f t="shared" si="21"/>
        <v>0.69299999999999995</v>
      </c>
      <c r="T22" s="44">
        <f t="shared" si="22"/>
        <v>0.64500000000000002</v>
      </c>
      <c r="U22" s="44">
        <f t="shared" si="23"/>
        <v>0.59499999999999997</v>
      </c>
      <c r="V22" s="450">
        <f t="shared" si="24"/>
        <v>0.56899999999999995</v>
      </c>
      <c r="Y22" s="61">
        <f t="shared" si="11"/>
        <v>830</v>
      </c>
      <c r="Z22" s="66">
        <f t="shared" si="25"/>
        <v>830</v>
      </c>
      <c r="AA22" s="77">
        <f t="shared" si="26"/>
        <v>693</v>
      </c>
      <c r="AB22" s="61">
        <f t="shared" si="27"/>
        <v>679</v>
      </c>
      <c r="AC22" s="43">
        <f t="shared" si="28"/>
        <v>671</v>
      </c>
      <c r="AD22" s="43">
        <f t="shared" si="29"/>
        <v>624</v>
      </c>
      <c r="AE22" s="43">
        <f t="shared" si="30"/>
        <v>576</v>
      </c>
      <c r="AF22" s="66">
        <f t="shared" si="31"/>
        <v>551</v>
      </c>
      <c r="AG22" s="5">
        <f t="shared" si="32"/>
        <v>0.83499999999999996</v>
      </c>
      <c r="AH22" s="73">
        <f t="shared" si="33"/>
        <v>0.81799999999999995</v>
      </c>
      <c r="AI22" s="44">
        <f t="shared" si="34"/>
        <v>0.80800000000000005</v>
      </c>
      <c r="AJ22" s="44">
        <f t="shared" si="35"/>
        <v>0.752</v>
      </c>
      <c r="AK22" s="44">
        <f t="shared" si="36"/>
        <v>0.69399999999999995</v>
      </c>
      <c r="AL22" s="45">
        <f t="shared" si="37"/>
        <v>0.66400000000000003</v>
      </c>
    </row>
    <row r="23" spans="1:38" x14ac:dyDescent="0.35">
      <c r="A23" s="250">
        <v>90</v>
      </c>
      <c r="B23" s="118">
        <v>301</v>
      </c>
      <c r="C23">
        <v>1</v>
      </c>
      <c r="D23">
        <v>4</v>
      </c>
      <c r="E23" s="125" t="s">
        <v>36</v>
      </c>
      <c r="F23" s="126" t="s">
        <v>19</v>
      </c>
      <c r="G23" s="217" t="s">
        <v>20</v>
      </c>
      <c r="H23" s="34">
        <v>1</v>
      </c>
      <c r="I23" s="131">
        <f t="shared" si="0"/>
        <v>729</v>
      </c>
      <c r="J23" s="66">
        <f t="shared" si="1"/>
        <v>729</v>
      </c>
      <c r="K23" s="77">
        <v>598</v>
      </c>
      <c r="L23" s="61">
        <f t="shared" si="18"/>
        <v>577</v>
      </c>
      <c r="M23" s="43">
        <f t="shared" si="2"/>
        <v>568</v>
      </c>
      <c r="N23" s="43">
        <f t="shared" si="3"/>
        <v>553</v>
      </c>
      <c r="O23" s="43">
        <f t="shared" si="4"/>
        <v>546</v>
      </c>
      <c r="P23" s="66">
        <f t="shared" si="5"/>
        <v>530</v>
      </c>
      <c r="Q23" s="5">
        <f t="shared" si="19"/>
        <v>0.82</v>
      </c>
      <c r="R23" s="73">
        <f t="shared" si="20"/>
        <v>0.79100000000000004</v>
      </c>
      <c r="S23" s="44">
        <f t="shared" si="21"/>
        <v>0.77900000000000003</v>
      </c>
      <c r="T23" s="44">
        <f t="shared" si="22"/>
        <v>0.75900000000000001</v>
      </c>
      <c r="U23" s="44">
        <f t="shared" si="23"/>
        <v>0.749</v>
      </c>
      <c r="V23" s="450">
        <f t="shared" si="24"/>
        <v>0.72699999999999998</v>
      </c>
      <c r="Y23" s="439">
        <f t="shared" si="11"/>
        <v>707</v>
      </c>
      <c r="Z23" s="66">
        <f t="shared" si="25"/>
        <v>707</v>
      </c>
      <c r="AA23" s="77">
        <f t="shared" si="26"/>
        <v>598</v>
      </c>
      <c r="AB23" s="61">
        <f t="shared" si="27"/>
        <v>577</v>
      </c>
      <c r="AC23" s="43">
        <f t="shared" si="28"/>
        <v>568</v>
      </c>
      <c r="AD23" s="43">
        <f t="shared" si="29"/>
        <v>553</v>
      </c>
      <c r="AE23" s="43">
        <f t="shared" si="30"/>
        <v>546</v>
      </c>
      <c r="AF23" s="66">
        <f t="shared" si="31"/>
        <v>530</v>
      </c>
      <c r="AG23" s="5">
        <f t="shared" si="32"/>
        <v>0.84599999999999997</v>
      </c>
      <c r="AH23" s="73">
        <f t="shared" si="33"/>
        <v>0.81599999999999995</v>
      </c>
      <c r="AI23" s="44">
        <f t="shared" si="34"/>
        <v>0.80300000000000005</v>
      </c>
      <c r="AJ23" s="44">
        <f t="shared" si="35"/>
        <v>0.78200000000000003</v>
      </c>
      <c r="AK23" s="44">
        <f t="shared" si="36"/>
        <v>0.77200000000000002</v>
      </c>
      <c r="AL23" s="45">
        <f t="shared" si="37"/>
        <v>0.75</v>
      </c>
    </row>
    <row r="24" spans="1:38" x14ac:dyDescent="0.35">
      <c r="A24" s="250">
        <v>22</v>
      </c>
      <c r="B24" s="118">
        <v>1091</v>
      </c>
      <c r="C24">
        <v>1</v>
      </c>
      <c r="D24">
        <v>4</v>
      </c>
      <c r="E24" s="125" t="s">
        <v>37</v>
      </c>
      <c r="F24" s="126" t="s">
        <v>19</v>
      </c>
      <c r="G24" s="217" t="s">
        <v>20</v>
      </c>
      <c r="H24" s="34">
        <v>1</v>
      </c>
      <c r="I24" s="42">
        <f t="shared" si="0"/>
        <v>789</v>
      </c>
      <c r="J24" s="66">
        <f t="shared" si="1"/>
        <v>789</v>
      </c>
      <c r="K24" s="77">
        <v>469</v>
      </c>
      <c r="L24" s="61">
        <f t="shared" si="18"/>
        <v>489</v>
      </c>
      <c r="M24" s="43">
        <f t="shared" si="2"/>
        <v>478</v>
      </c>
      <c r="N24" s="43">
        <f t="shared" si="3"/>
        <v>465</v>
      </c>
      <c r="O24" s="43">
        <f t="shared" si="4"/>
        <v>457</v>
      </c>
      <c r="P24" s="66">
        <f t="shared" si="5"/>
        <v>447</v>
      </c>
      <c r="Q24" s="5">
        <f t="shared" ref="Q24:Q66" si="38">ROUND(K24/$J24,3)</f>
        <v>0.59399999999999997</v>
      </c>
      <c r="R24" s="73">
        <f t="shared" si="20"/>
        <v>0.62</v>
      </c>
      <c r="S24" s="44">
        <f t="shared" si="21"/>
        <v>0.60599999999999998</v>
      </c>
      <c r="T24" s="44">
        <f t="shared" si="22"/>
        <v>0.58899999999999997</v>
      </c>
      <c r="U24" s="44">
        <f t="shared" si="23"/>
        <v>0.57899999999999996</v>
      </c>
      <c r="V24" s="450">
        <f t="shared" si="24"/>
        <v>0.56699999999999995</v>
      </c>
      <c r="Y24" s="61">
        <f t="shared" si="11"/>
        <v>753</v>
      </c>
      <c r="Z24" s="66">
        <f t="shared" si="25"/>
        <v>753</v>
      </c>
      <c r="AA24" s="77">
        <f t="shared" si="26"/>
        <v>469</v>
      </c>
      <c r="AB24" s="61">
        <f t="shared" si="27"/>
        <v>489</v>
      </c>
      <c r="AC24" s="43">
        <f t="shared" si="28"/>
        <v>478</v>
      </c>
      <c r="AD24" s="43">
        <f t="shared" si="29"/>
        <v>465</v>
      </c>
      <c r="AE24" s="43">
        <f t="shared" si="30"/>
        <v>457</v>
      </c>
      <c r="AF24" s="66">
        <f t="shared" si="31"/>
        <v>447</v>
      </c>
      <c r="AG24" s="5">
        <f t="shared" si="32"/>
        <v>0.623</v>
      </c>
      <c r="AH24" s="73">
        <f t="shared" si="33"/>
        <v>0.64900000000000002</v>
      </c>
      <c r="AI24" s="44">
        <f t="shared" si="34"/>
        <v>0.63500000000000001</v>
      </c>
      <c r="AJ24" s="44">
        <f t="shared" si="35"/>
        <v>0.61799999999999999</v>
      </c>
      <c r="AK24" s="44">
        <f t="shared" si="36"/>
        <v>0.60699999999999998</v>
      </c>
      <c r="AL24" s="45">
        <f t="shared" si="37"/>
        <v>0.59399999999999997</v>
      </c>
    </row>
    <row r="25" spans="1:38" x14ac:dyDescent="0.35">
      <c r="A25" s="251">
        <v>64</v>
      </c>
      <c r="B25" s="118">
        <v>5021</v>
      </c>
      <c r="C25">
        <v>2</v>
      </c>
      <c r="D25">
        <v>4</v>
      </c>
      <c r="E25" s="125" t="s">
        <v>38</v>
      </c>
      <c r="F25" s="126" t="s">
        <v>19</v>
      </c>
      <c r="G25" s="217" t="s">
        <v>22</v>
      </c>
      <c r="H25" s="34">
        <v>1</v>
      </c>
      <c r="I25" s="131">
        <f t="shared" si="0"/>
        <v>475</v>
      </c>
      <c r="J25" s="66">
        <f t="shared" si="1"/>
        <v>475</v>
      </c>
      <c r="K25" s="77">
        <v>410</v>
      </c>
      <c r="L25" s="61">
        <f t="shared" si="18"/>
        <v>410</v>
      </c>
      <c r="M25" s="43">
        <f t="shared" si="2"/>
        <v>410</v>
      </c>
      <c r="N25" s="43">
        <f t="shared" si="3"/>
        <v>410</v>
      </c>
      <c r="O25" s="43">
        <f t="shared" si="4"/>
        <v>410</v>
      </c>
      <c r="P25" s="66">
        <f t="shared" si="5"/>
        <v>410</v>
      </c>
      <c r="Q25" s="5">
        <f t="shared" si="38"/>
        <v>0.86299999999999999</v>
      </c>
      <c r="R25" s="73">
        <f t="shared" si="20"/>
        <v>0.86299999999999999</v>
      </c>
      <c r="S25" s="44">
        <f t="shared" si="21"/>
        <v>0.86299999999999999</v>
      </c>
      <c r="T25" s="44">
        <f t="shared" si="22"/>
        <v>0.86299999999999999</v>
      </c>
      <c r="U25" s="44">
        <f t="shared" si="23"/>
        <v>0.86299999999999999</v>
      </c>
      <c r="V25" s="450">
        <f t="shared" si="24"/>
        <v>0.86299999999999999</v>
      </c>
      <c r="Y25" s="439">
        <f t="shared" si="11"/>
        <v>453</v>
      </c>
      <c r="Z25" s="66">
        <f t="shared" si="25"/>
        <v>453</v>
      </c>
      <c r="AA25" s="77">
        <f t="shared" si="26"/>
        <v>410</v>
      </c>
      <c r="AB25" s="61">
        <f t="shared" si="27"/>
        <v>410</v>
      </c>
      <c r="AC25" s="43">
        <f t="shared" si="28"/>
        <v>410</v>
      </c>
      <c r="AD25" s="43">
        <f t="shared" si="29"/>
        <v>410</v>
      </c>
      <c r="AE25" s="43">
        <f t="shared" si="30"/>
        <v>410</v>
      </c>
      <c r="AF25" s="66">
        <f t="shared" si="31"/>
        <v>410</v>
      </c>
      <c r="AG25" s="5">
        <f t="shared" si="32"/>
        <v>0.90500000000000003</v>
      </c>
      <c r="AH25" s="73">
        <f t="shared" si="33"/>
        <v>0.90500000000000003</v>
      </c>
      <c r="AI25" s="44">
        <f t="shared" si="34"/>
        <v>0.90500000000000003</v>
      </c>
      <c r="AJ25" s="44">
        <f t="shared" si="35"/>
        <v>0.90500000000000003</v>
      </c>
      <c r="AK25" s="44">
        <f t="shared" si="36"/>
        <v>0.90500000000000003</v>
      </c>
      <c r="AL25" s="45">
        <f t="shared" si="37"/>
        <v>0.90500000000000003</v>
      </c>
    </row>
    <row r="26" spans="1:38" s="135" customFormat="1" hidden="1" x14ac:dyDescent="0.35">
      <c r="A26" s="252">
        <v>59</v>
      </c>
      <c r="B26" s="134">
        <v>4101</v>
      </c>
      <c r="C26" s="135">
        <v>2</v>
      </c>
      <c r="D26" s="135">
        <v>100</v>
      </c>
      <c r="E26" s="136" t="s">
        <v>122</v>
      </c>
      <c r="F26" s="137" t="s">
        <v>140</v>
      </c>
      <c r="G26" s="219" t="e">
        <v>#N/A</v>
      </c>
      <c r="H26" s="38">
        <v>1</v>
      </c>
      <c r="I26" s="46">
        <f t="shared" si="0"/>
        <v>681</v>
      </c>
      <c r="J26" s="67">
        <f t="shared" si="1"/>
        <v>681</v>
      </c>
      <c r="K26" s="78">
        <v>0</v>
      </c>
      <c r="L26" s="62"/>
      <c r="M26" s="47"/>
      <c r="N26" s="47"/>
      <c r="O26" s="47"/>
      <c r="P26" s="67"/>
      <c r="Q26" s="41"/>
      <c r="R26" s="74"/>
      <c r="S26" s="48"/>
      <c r="T26" s="48"/>
      <c r="U26" s="48"/>
      <c r="V26" s="451"/>
      <c r="W26"/>
      <c r="X26"/>
      <c r="Y26" s="62">
        <f t="shared" si="11"/>
        <v>681</v>
      </c>
      <c r="Z26" s="67">
        <f t="shared" si="25"/>
        <v>681</v>
      </c>
      <c r="AA26" s="78">
        <f t="shared" si="26"/>
        <v>0</v>
      </c>
      <c r="AB26" s="62"/>
      <c r="AC26" s="47"/>
      <c r="AD26" s="47"/>
      <c r="AE26" s="47"/>
      <c r="AF26" s="67"/>
      <c r="AG26" s="41"/>
      <c r="AH26" s="74"/>
      <c r="AI26" s="48"/>
      <c r="AJ26" s="48"/>
      <c r="AK26" s="48"/>
      <c r="AL26" s="49"/>
    </row>
    <row r="27" spans="1:38" x14ac:dyDescent="0.35">
      <c r="A27" s="250">
        <v>74</v>
      </c>
      <c r="B27" s="118">
        <v>6101</v>
      </c>
      <c r="C27">
        <v>3</v>
      </c>
      <c r="D27">
        <v>4</v>
      </c>
      <c r="E27" s="132" t="s">
        <v>39</v>
      </c>
      <c r="F27" s="133" t="s">
        <v>19</v>
      </c>
      <c r="G27" s="218" t="s">
        <v>22</v>
      </c>
      <c r="H27" s="31">
        <v>1</v>
      </c>
      <c r="I27" s="42">
        <f t="shared" si="0"/>
        <v>711</v>
      </c>
      <c r="J27" s="66">
        <f t="shared" si="1"/>
        <v>711</v>
      </c>
      <c r="K27" s="77">
        <v>394</v>
      </c>
      <c r="L27" s="61">
        <f t="shared" si="18"/>
        <v>388</v>
      </c>
      <c r="M27" s="43">
        <f t="shared" si="2"/>
        <v>369</v>
      </c>
      <c r="N27" s="43">
        <f t="shared" si="3"/>
        <v>354</v>
      </c>
      <c r="O27" s="43">
        <f t="shared" si="4"/>
        <v>340</v>
      </c>
      <c r="P27" s="66">
        <f t="shared" si="5"/>
        <v>331</v>
      </c>
      <c r="Q27" s="5">
        <f t="shared" si="38"/>
        <v>0.55400000000000005</v>
      </c>
      <c r="R27" s="73">
        <f t="shared" si="20"/>
        <v>0.54600000000000004</v>
      </c>
      <c r="S27" s="44">
        <f t="shared" si="21"/>
        <v>0.51900000000000002</v>
      </c>
      <c r="T27" s="44">
        <f t="shared" si="22"/>
        <v>0.498</v>
      </c>
      <c r="U27" s="44">
        <f t="shared" si="23"/>
        <v>0.47799999999999998</v>
      </c>
      <c r="V27" s="450">
        <f t="shared" si="24"/>
        <v>0.46600000000000003</v>
      </c>
      <c r="Y27" s="61">
        <f t="shared" si="11"/>
        <v>667</v>
      </c>
      <c r="Z27" s="66">
        <f t="shared" si="25"/>
        <v>667</v>
      </c>
      <c r="AA27" s="77">
        <f t="shared" si="26"/>
        <v>394</v>
      </c>
      <c r="AB27" s="61">
        <f t="shared" si="27"/>
        <v>388</v>
      </c>
      <c r="AC27" s="43">
        <f t="shared" si="28"/>
        <v>369</v>
      </c>
      <c r="AD27" s="43">
        <f t="shared" si="29"/>
        <v>354</v>
      </c>
      <c r="AE27" s="43">
        <f t="shared" si="30"/>
        <v>340</v>
      </c>
      <c r="AF27" s="66">
        <f t="shared" si="31"/>
        <v>331</v>
      </c>
      <c r="AG27" s="5">
        <f t="shared" si="32"/>
        <v>0.59099999999999997</v>
      </c>
      <c r="AH27" s="73">
        <f t="shared" si="33"/>
        <v>0.58199999999999996</v>
      </c>
      <c r="AI27" s="44">
        <f t="shared" si="34"/>
        <v>0.55300000000000005</v>
      </c>
      <c r="AJ27" s="44">
        <f t="shared" si="35"/>
        <v>0.53100000000000003</v>
      </c>
      <c r="AK27" s="44">
        <f t="shared" si="36"/>
        <v>0.51</v>
      </c>
      <c r="AL27" s="45">
        <f t="shared" si="37"/>
        <v>0.496</v>
      </c>
    </row>
    <row r="28" spans="1:38" x14ac:dyDescent="0.35">
      <c r="A28" s="250">
        <v>20</v>
      </c>
      <c r="B28" s="118">
        <v>1071</v>
      </c>
      <c r="C28">
        <v>4</v>
      </c>
      <c r="D28">
        <v>4</v>
      </c>
      <c r="E28" s="125" t="s">
        <v>40</v>
      </c>
      <c r="F28" s="138" t="s">
        <v>19</v>
      </c>
      <c r="G28" s="220" t="s">
        <v>20</v>
      </c>
      <c r="H28" s="34">
        <v>1</v>
      </c>
      <c r="I28" s="42">
        <f t="shared" si="0"/>
        <v>777</v>
      </c>
      <c r="J28" s="66">
        <f t="shared" si="1"/>
        <v>777</v>
      </c>
      <c r="K28" s="77">
        <v>462</v>
      </c>
      <c r="L28" s="61">
        <f t="shared" si="18"/>
        <v>448</v>
      </c>
      <c r="M28" s="43">
        <f t="shared" si="2"/>
        <v>449</v>
      </c>
      <c r="N28" s="43">
        <f t="shared" si="3"/>
        <v>439</v>
      </c>
      <c r="O28" s="43">
        <f t="shared" si="4"/>
        <v>450</v>
      </c>
      <c r="P28" s="66">
        <f t="shared" si="5"/>
        <v>442</v>
      </c>
      <c r="Q28" s="5">
        <f t="shared" si="38"/>
        <v>0.59499999999999997</v>
      </c>
      <c r="R28" s="73">
        <f t="shared" si="20"/>
        <v>0.57699999999999996</v>
      </c>
      <c r="S28" s="44">
        <f t="shared" si="21"/>
        <v>0.57799999999999996</v>
      </c>
      <c r="T28" s="44">
        <f t="shared" si="22"/>
        <v>0.56499999999999995</v>
      </c>
      <c r="U28" s="44">
        <f t="shared" si="23"/>
        <v>0.57899999999999996</v>
      </c>
      <c r="V28" s="450">
        <f t="shared" si="24"/>
        <v>0.56899999999999995</v>
      </c>
      <c r="Y28" s="61">
        <f t="shared" si="11"/>
        <v>689</v>
      </c>
      <c r="Z28" s="66">
        <f t="shared" si="25"/>
        <v>689</v>
      </c>
      <c r="AA28" s="77">
        <f t="shared" si="26"/>
        <v>462</v>
      </c>
      <c r="AB28" s="61">
        <f t="shared" si="27"/>
        <v>448</v>
      </c>
      <c r="AC28" s="43">
        <f t="shared" si="28"/>
        <v>449</v>
      </c>
      <c r="AD28" s="43">
        <f t="shared" si="29"/>
        <v>439</v>
      </c>
      <c r="AE28" s="43">
        <f t="shared" si="30"/>
        <v>450</v>
      </c>
      <c r="AF28" s="66">
        <f t="shared" si="31"/>
        <v>442</v>
      </c>
      <c r="AG28" s="5">
        <f t="shared" si="32"/>
        <v>0.67100000000000004</v>
      </c>
      <c r="AH28" s="73">
        <f t="shared" si="33"/>
        <v>0.65</v>
      </c>
      <c r="AI28" s="44">
        <f t="shared" si="34"/>
        <v>0.65200000000000002</v>
      </c>
      <c r="AJ28" s="44">
        <f t="shared" si="35"/>
        <v>0.63700000000000001</v>
      </c>
      <c r="AK28" s="44">
        <f t="shared" si="36"/>
        <v>0.65300000000000002</v>
      </c>
      <c r="AL28" s="45">
        <f t="shared" si="37"/>
        <v>0.64200000000000002</v>
      </c>
    </row>
    <row r="29" spans="1:38" x14ac:dyDescent="0.35">
      <c r="A29" s="250">
        <v>48</v>
      </c>
      <c r="B29" s="118">
        <v>3061</v>
      </c>
      <c r="C29">
        <v>5</v>
      </c>
      <c r="D29">
        <v>4</v>
      </c>
      <c r="E29" s="132" t="s">
        <v>41</v>
      </c>
      <c r="F29" s="133" t="s">
        <v>19</v>
      </c>
      <c r="G29" s="218" t="s">
        <v>20</v>
      </c>
      <c r="H29" s="31">
        <v>1</v>
      </c>
      <c r="I29" s="42">
        <f t="shared" si="0"/>
        <v>629</v>
      </c>
      <c r="J29" s="66">
        <f t="shared" si="1"/>
        <v>629</v>
      </c>
      <c r="K29" s="77">
        <v>373</v>
      </c>
      <c r="L29" s="61">
        <f t="shared" si="18"/>
        <v>356</v>
      </c>
      <c r="M29" s="43">
        <f t="shared" si="2"/>
        <v>357</v>
      </c>
      <c r="N29" s="43">
        <f t="shared" si="3"/>
        <v>364</v>
      </c>
      <c r="O29" s="43">
        <f t="shared" si="4"/>
        <v>344</v>
      </c>
      <c r="P29" s="66">
        <f t="shared" si="5"/>
        <v>344</v>
      </c>
      <c r="Q29" s="5">
        <f t="shared" si="38"/>
        <v>0.59299999999999997</v>
      </c>
      <c r="R29" s="73">
        <f t="shared" si="20"/>
        <v>0.56599999999999995</v>
      </c>
      <c r="S29" s="44">
        <f t="shared" si="21"/>
        <v>0.56799999999999995</v>
      </c>
      <c r="T29" s="44">
        <f t="shared" si="22"/>
        <v>0.57899999999999996</v>
      </c>
      <c r="U29" s="44">
        <f t="shared" si="23"/>
        <v>0.54700000000000004</v>
      </c>
      <c r="V29" s="450">
        <f t="shared" si="24"/>
        <v>0.54700000000000004</v>
      </c>
      <c r="Y29" s="61">
        <f t="shared" si="11"/>
        <v>453</v>
      </c>
      <c r="Z29" s="66">
        <f t="shared" si="25"/>
        <v>453</v>
      </c>
      <c r="AA29" s="77">
        <f t="shared" si="26"/>
        <v>373</v>
      </c>
      <c r="AB29" s="61">
        <f t="shared" si="27"/>
        <v>356</v>
      </c>
      <c r="AC29" s="43">
        <f t="shared" si="28"/>
        <v>357</v>
      </c>
      <c r="AD29" s="43">
        <f t="shared" si="29"/>
        <v>364</v>
      </c>
      <c r="AE29" s="43">
        <f t="shared" si="30"/>
        <v>344</v>
      </c>
      <c r="AF29" s="66">
        <f t="shared" si="31"/>
        <v>344</v>
      </c>
      <c r="AG29" s="5">
        <f t="shared" si="32"/>
        <v>0.82299999999999995</v>
      </c>
      <c r="AH29" s="73">
        <f t="shared" si="33"/>
        <v>0.78600000000000003</v>
      </c>
      <c r="AI29" s="44">
        <f t="shared" si="34"/>
        <v>0.78800000000000003</v>
      </c>
      <c r="AJ29" s="44">
        <f t="shared" si="35"/>
        <v>0.80400000000000005</v>
      </c>
      <c r="AK29" s="44">
        <f t="shared" si="36"/>
        <v>0.75900000000000001</v>
      </c>
      <c r="AL29" s="45">
        <f t="shared" si="37"/>
        <v>0.75900000000000001</v>
      </c>
    </row>
    <row r="30" spans="1:38" x14ac:dyDescent="0.35">
      <c r="A30" s="250">
        <v>68</v>
      </c>
      <c r="B30" s="118">
        <v>6013</v>
      </c>
      <c r="C30">
        <v>3</v>
      </c>
      <c r="D30">
        <v>4</v>
      </c>
      <c r="E30" s="125" t="s">
        <v>42</v>
      </c>
      <c r="F30" s="126" t="s">
        <v>19</v>
      </c>
      <c r="G30" s="217" t="s">
        <v>22</v>
      </c>
      <c r="H30" s="34">
        <v>1</v>
      </c>
      <c r="I30" s="131">
        <f t="shared" si="0"/>
        <v>605</v>
      </c>
      <c r="J30" s="66">
        <f t="shared" si="1"/>
        <v>605</v>
      </c>
      <c r="K30" s="77">
        <v>425</v>
      </c>
      <c r="L30" s="61">
        <f t="shared" si="18"/>
        <v>430</v>
      </c>
      <c r="M30" s="43">
        <f t="shared" si="2"/>
        <v>411</v>
      </c>
      <c r="N30" s="43">
        <f t="shared" si="3"/>
        <v>388</v>
      </c>
      <c r="O30" s="43">
        <f t="shared" si="4"/>
        <v>380</v>
      </c>
      <c r="P30" s="66">
        <f t="shared" si="5"/>
        <v>363</v>
      </c>
      <c r="Q30" s="5">
        <f t="shared" si="38"/>
        <v>0.70199999999999996</v>
      </c>
      <c r="R30" s="73">
        <f t="shared" si="20"/>
        <v>0.71099999999999997</v>
      </c>
      <c r="S30" s="44">
        <f t="shared" si="21"/>
        <v>0.67900000000000005</v>
      </c>
      <c r="T30" s="44">
        <f t="shared" si="22"/>
        <v>0.64100000000000001</v>
      </c>
      <c r="U30" s="44">
        <f t="shared" si="23"/>
        <v>0.628</v>
      </c>
      <c r="V30" s="450">
        <f t="shared" si="24"/>
        <v>0.6</v>
      </c>
      <c r="Y30" s="439">
        <f t="shared" si="11"/>
        <v>605</v>
      </c>
      <c r="Z30" s="66">
        <f t="shared" si="25"/>
        <v>605</v>
      </c>
      <c r="AA30" s="77">
        <f t="shared" si="26"/>
        <v>425</v>
      </c>
      <c r="AB30" s="61">
        <f t="shared" si="27"/>
        <v>430</v>
      </c>
      <c r="AC30" s="43">
        <f t="shared" si="28"/>
        <v>411</v>
      </c>
      <c r="AD30" s="43">
        <f t="shared" si="29"/>
        <v>388</v>
      </c>
      <c r="AE30" s="43">
        <f t="shared" si="30"/>
        <v>380</v>
      </c>
      <c r="AF30" s="66">
        <f t="shared" si="31"/>
        <v>363</v>
      </c>
      <c r="AG30" s="5">
        <f t="shared" si="32"/>
        <v>0.70199999999999996</v>
      </c>
      <c r="AH30" s="73">
        <f t="shared" si="33"/>
        <v>0.71099999999999997</v>
      </c>
      <c r="AI30" s="44">
        <f t="shared" si="34"/>
        <v>0.67900000000000005</v>
      </c>
      <c r="AJ30" s="44">
        <f t="shared" si="35"/>
        <v>0.64100000000000001</v>
      </c>
      <c r="AK30" s="44">
        <f t="shared" si="36"/>
        <v>0.628</v>
      </c>
      <c r="AL30" s="45">
        <f t="shared" si="37"/>
        <v>0.6</v>
      </c>
    </row>
    <row r="31" spans="1:38" x14ac:dyDescent="0.35">
      <c r="A31" s="250">
        <v>11</v>
      </c>
      <c r="B31" s="118">
        <v>151</v>
      </c>
      <c r="C31">
        <v>1</v>
      </c>
      <c r="D31">
        <v>4</v>
      </c>
      <c r="E31" s="125" t="s">
        <v>43</v>
      </c>
      <c r="F31" s="126" t="s">
        <v>19</v>
      </c>
      <c r="G31" s="217" t="s">
        <v>20</v>
      </c>
      <c r="H31" s="34">
        <v>1</v>
      </c>
      <c r="I31" s="42">
        <f t="shared" si="0"/>
        <v>729</v>
      </c>
      <c r="J31" s="66">
        <f t="shared" si="1"/>
        <v>729</v>
      </c>
      <c r="K31" s="77">
        <v>559</v>
      </c>
      <c r="L31" s="61">
        <f t="shared" si="18"/>
        <v>554</v>
      </c>
      <c r="M31" s="43">
        <f t="shared" si="2"/>
        <v>519</v>
      </c>
      <c r="N31" s="43">
        <f t="shared" si="3"/>
        <v>489</v>
      </c>
      <c r="O31" s="43">
        <f t="shared" si="4"/>
        <v>471</v>
      </c>
      <c r="P31" s="66">
        <f t="shared" si="5"/>
        <v>458</v>
      </c>
      <c r="Q31" s="5">
        <f t="shared" si="38"/>
        <v>0.76700000000000002</v>
      </c>
      <c r="R31" s="73">
        <f t="shared" si="20"/>
        <v>0.76</v>
      </c>
      <c r="S31" s="44">
        <f t="shared" si="21"/>
        <v>0.71199999999999997</v>
      </c>
      <c r="T31" s="44">
        <f t="shared" si="22"/>
        <v>0.67100000000000004</v>
      </c>
      <c r="U31" s="44">
        <f t="shared" si="23"/>
        <v>0.64600000000000002</v>
      </c>
      <c r="V31" s="450">
        <f t="shared" si="24"/>
        <v>0.628</v>
      </c>
      <c r="Y31" s="61">
        <f t="shared" si="11"/>
        <v>729</v>
      </c>
      <c r="Z31" s="66">
        <f t="shared" si="25"/>
        <v>729</v>
      </c>
      <c r="AA31" s="77">
        <f t="shared" si="26"/>
        <v>559</v>
      </c>
      <c r="AB31" s="61">
        <f t="shared" si="27"/>
        <v>554</v>
      </c>
      <c r="AC31" s="43">
        <f t="shared" si="28"/>
        <v>519</v>
      </c>
      <c r="AD31" s="43">
        <f t="shared" si="29"/>
        <v>489</v>
      </c>
      <c r="AE31" s="43">
        <f t="shared" si="30"/>
        <v>471</v>
      </c>
      <c r="AF31" s="66">
        <f t="shared" si="31"/>
        <v>458</v>
      </c>
      <c r="AG31" s="5">
        <f t="shared" si="32"/>
        <v>0.76700000000000002</v>
      </c>
      <c r="AH31" s="73">
        <f t="shared" si="33"/>
        <v>0.76</v>
      </c>
      <c r="AI31" s="44">
        <f t="shared" si="34"/>
        <v>0.71199999999999997</v>
      </c>
      <c r="AJ31" s="44">
        <f t="shared" si="35"/>
        <v>0.67100000000000004</v>
      </c>
      <c r="AK31" s="44">
        <f t="shared" si="36"/>
        <v>0.64600000000000002</v>
      </c>
      <c r="AL31" s="45">
        <f t="shared" si="37"/>
        <v>0.628</v>
      </c>
    </row>
    <row r="32" spans="1:38" x14ac:dyDescent="0.35">
      <c r="A32" s="250">
        <v>72</v>
      </c>
      <c r="B32" s="118">
        <v>6081</v>
      </c>
      <c r="C32">
        <v>3</v>
      </c>
      <c r="D32">
        <v>4</v>
      </c>
      <c r="E32" s="132" t="s">
        <v>44</v>
      </c>
      <c r="F32" s="133" t="s">
        <v>19</v>
      </c>
      <c r="G32" s="218" t="s">
        <v>20</v>
      </c>
      <c r="H32" s="31">
        <v>1</v>
      </c>
      <c r="I32" s="42">
        <f t="shared" si="0"/>
        <v>798</v>
      </c>
      <c r="J32" s="66">
        <f t="shared" si="1"/>
        <v>798</v>
      </c>
      <c r="K32" s="77">
        <v>634</v>
      </c>
      <c r="L32" s="61">
        <f t="shared" si="18"/>
        <v>609</v>
      </c>
      <c r="M32" s="43">
        <f t="shared" si="2"/>
        <v>557</v>
      </c>
      <c r="N32" s="43">
        <f t="shared" si="3"/>
        <v>549</v>
      </c>
      <c r="O32" s="43">
        <f t="shared" si="4"/>
        <v>522</v>
      </c>
      <c r="P32" s="66">
        <f t="shared" si="5"/>
        <v>506</v>
      </c>
      <c r="Q32" s="5">
        <f t="shared" si="38"/>
        <v>0.79400000000000004</v>
      </c>
      <c r="R32" s="73">
        <f t="shared" si="20"/>
        <v>0.76300000000000001</v>
      </c>
      <c r="S32" s="44">
        <f t="shared" si="21"/>
        <v>0.69799999999999995</v>
      </c>
      <c r="T32" s="44">
        <f t="shared" si="22"/>
        <v>0.68799999999999994</v>
      </c>
      <c r="U32" s="44">
        <f t="shared" si="23"/>
        <v>0.65400000000000003</v>
      </c>
      <c r="V32" s="450">
        <f t="shared" si="24"/>
        <v>0.63400000000000001</v>
      </c>
      <c r="Y32" s="61">
        <f t="shared" si="11"/>
        <v>754</v>
      </c>
      <c r="Z32" s="66">
        <f t="shared" si="25"/>
        <v>754</v>
      </c>
      <c r="AA32" s="77">
        <f t="shared" si="26"/>
        <v>634</v>
      </c>
      <c r="AB32" s="61">
        <f t="shared" si="27"/>
        <v>609</v>
      </c>
      <c r="AC32" s="43">
        <f t="shared" si="28"/>
        <v>557</v>
      </c>
      <c r="AD32" s="43">
        <f t="shared" si="29"/>
        <v>549</v>
      </c>
      <c r="AE32" s="43">
        <f t="shared" si="30"/>
        <v>522</v>
      </c>
      <c r="AF32" s="66">
        <f t="shared" si="31"/>
        <v>506</v>
      </c>
      <c r="AG32" s="5">
        <f t="shared" si="32"/>
        <v>0.84099999999999997</v>
      </c>
      <c r="AH32" s="73">
        <f t="shared" si="33"/>
        <v>0.80800000000000005</v>
      </c>
      <c r="AI32" s="44">
        <f t="shared" si="34"/>
        <v>0.73899999999999999</v>
      </c>
      <c r="AJ32" s="44">
        <f t="shared" si="35"/>
        <v>0.72799999999999998</v>
      </c>
      <c r="AK32" s="44">
        <f t="shared" si="36"/>
        <v>0.69199999999999995</v>
      </c>
      <c r="AL32" s="45">
        <f t="shared" si="37"/>
        <v>0.67100000000000004</v>
      </c>
    </row>
    <row r="33" spans="1:38" x14ac:dyDescent="0.35">
      <c r="A33" s="250">
        <v>42</v>
      </c>
      <c r="B33" s="118">
        <v>2191</v>
      </c>
      <c r="C33">
        <v>5</v>
      </c>
      <c r="D33">
        <v>4</v>
      </c>
      <c r="E33" s="132" t="s">
        <v>45</v>
      </c>
      <c r="F33" s="133" t="s">
        <v>19</v>
      </c>
      <c r="G33" s="218" t="s">
        <v>20</v>
      </c>
      <c r="H33" s="31">
        <v>1</v>
      </c>
      <c r="I33" s="42">
        <f t="shared" si="0"/>
        <v>952</v>
      </c>
      <c r="J33" s="66">
        <f t="shared" si="1"/>
        <v>952</v>
      </c>
      <c r="K33" s="77">
        <v>834</v>
      </c>
      <c r="L33" s="61">
        <f t="shared" si="18"/>
        <v>834</v>
      </c>
      <c r="M33" s="43">
        <f t="shared" si="2"/>
        <v>917</v>
      </c>
      <c r="N33" s="43">
        <f t="shared" si="3"/>
        <v>954</v>
      </c>
      <c r="O33" s="43">
        <f t="shared" si="4"/>
        <v>1030</v>
      </c>
      <c r="P33" s="66">
        <f t="shared" si="5"/>
        <v>1110</v>
      </c>
      <c r="Q33" s="5">
        <f t="shared" si="38"/>
        <v>0.876</v>
      </c>
      <c r="R33" s="73">
        <f t="shared" si="20"/>
        <v>0.876</v>
      </c>
      <c r="S33" s="44">
        <f t="shared" si="21"/>
        <v>0.96299999999999997</v>
      </c>
      <c r="T33" s="44">
        <f t="shared" si="22"/>
        <v>1.002</v>
      </c>
      <c r="U33" s="44">
        <f t="shared" si="23"/>
        <v>1.0820000000000001</v>
      </c>
      <c r="V33" s="450">
        <f t="shared" si="24"/>
        <v>1.1659999999999999</v>
      </c>
      <c r="Y33" s="61">
        <f t="shared" si="11"/>
        <v>780</v>
      </c>
      <c r="Z33" s="66">
        <f t="shared" si="25"/>
        <v>780</v>
      </c>
      <c r="AA33" s="77">
        <f t="shared" si="26"/>
        <v>834</v>
      </c>
      <c r="AB33" s="61">
        <f t="shared" si="27"/>
        <v>834</v>
      </c>
      <c r="AC33" s="43">
        <f t="shared" si="28"/>
        <v>917</v>
      </c>
      <c r="AD33" s="43">
        <f t="shared" si="29"/>
        <v>954</v>
      </c>
      <c r="AE33" s="43">
        <f t="shared" si="30"/>
        <v>1030</v>
      </c>
      <c r="AF33" s="66">
        <f t="shared" si="31"/>
        <v>1110</v>
      </c>
      <c r="AG33" s="5">
        <f t="shared" si="32"/>
        <v>1.069</v>
      </c>
      <c r="AH33" s="73">
        <f t="shared" si="33"/>
        <v>1.069</v>
      </c>
      <c r="AI33" s="44">
        <f t="shared" si="34"/>
        <v>1.1759999999999999</v>
      </c>
      <c r="AJ33" s="44">
        <f t="shared" si="35"/>
        <v>1.2230000000000001</v>
      </c>
      <c r="AK33" s="44">
        <f t="shared" si="36"/>
        <v>1.321</v>
      </c>
      <c r="AL33" s="45">
        <f t="shared" si="37"/>
        <v>1.423</v>
      </c>
    </row>
    <row r="34" spans="1:38" x14ac:dyDescent="0.35">
      <c r="A34" s="250">
        <v>35</v>
      </c>
      <c r="B34" s="118">
        <v>2111</v>
      </c>
      <c r="C34">
        <v>5</v>
      </c>
      <c r="D34">
        <v>4</v>
      </c>
      <c r="E34" s="132" t="s">
        <v>46</v>
      </c>
      <c r="F34" s="133" t="s">
        <v>19</v>
      </c>
      <c r="G34" s="218" t="s">
        <v>20</v>
      </c>
      <c r="H34" s="31">
        <v>1</v>
      </c>
      <c r="I34" s="42">
        <f t="shared" si="0"/>
        <v>892</v>
      </c>
      <c r="J34" s="66">
        <f t="shared" si="1"/>
        <v>892</v>
      </c>
      <c r="K34" s="77">
        <v>525</v>
      </c>
      <c r="L34" s="61">
        <f t="shared" si="18"/>
        <v>518</v>
      </c>
      <c r="M34" s="43">
        <f t="shared" si="2"/>
        <v>475</v>
      </c>
      <c r="N34" s="43">
        <f t="shared" si="3"/>
        <v>450</v>
      </c>
      <c r="O34" s="43">
        <f t="shared" si="4"/>
        <v>424</v>
      </c>
      <c r="P34" s="66">
        <f t="shared" si="5"/>
        <v>401</v>
      </c>
      <c r="Q34" s="5">
        <f t="shared" si="38"/>
        <v>0.58899999999999997</v>
      </c>
      <c r="R34" s="73">
        <f t="shared" si="20"/>
        <v>0.58099999999999996</v>
      </c>
      <c r="S34" s="44">
        <f t="shared" si="21"/>
        <v>0.53300000000000003</v>
      </c>
      <c r="T34" s="44">
        <f t="shared" si="22"/>
        <v>0.504</v>
      </c>
      <c r="U34" s="44">
        <f t="shared" si="23"/>
        <v>0.47499999999999998</v>
      </c>
      <c r="V34" s="450">
        <f t="shared" si="24"/>
        <v>0.45</v>
      </c>
      <c r="Y34" s="61">
        <f t="shared" si="11"/>
        <v>892</v>
      </c>
      <c r="Z34" s="66">
        <f t="shared" si="25"/>
        <v>892</v>
      </c>
      <c r="AA34" s="77">
        <f t="shared" si="26"/>
        <v>525</v>
      </c>
      <c r="AB34" s="61">
        <f t="shared" si="27"/>
        <v>518</v>
      </c>
      <c r="AC34" s="43">
        <f t="shared" si="28"/>
        <v>475</v>
      </c>
      <c r="AD34" s="43">
        <f t="shared" si="29"/>
        <v>450</v>
      </c>
      <c r="AE34" s="43">
        <f t="shared" si="30"/>
        <v>424</v>
      </c>
      <c r="AF34" s="66">
        <f t="shared" si="31"/>
        <v>401</v>
      </c>
      <c r="AG34" s="5">
        <f t="shared" si="32"/>
        <v>0.58899999999999997</v>
      </c>
      <c r="AH34" s="73">
        <f t="shared" si="33"/>
        <v>0.58099999999999996</v>
      </c>
      <c r="AI34" s="44">
        <f t="shared" si="34"/>
        <v>0.53300000000000003</v>
      </c>
      <c r="AJ34" s="44">
        <f t="shared" si="35"/>
        <v>0.504</v>
      </c>
      <c r="AK34" s="44">
        <f t="shared" si="36"/>
        <v>0.47499999999999998</v>
      </c>
      <c r="AL34" s="45">
        <f t="shared" si="37"/>
        <v>0.45</v>
      </c>
    </row>
    <row r="35" spans="1:38" x14ac:dyDescent="0.35">
      <c r="A35" s="250">
        <v>107</v>
      </c>
      <c r="B35" s="118">
        <v>3131</v>
      </c>
      <c r="C35">
        <v>4</v>
      </c>
      <c r="D35">
        <v>4</v>
      </c>
      <c r="E35" s="125" t="s">
        <v>47</v>
      </c>
      <c r="F35" s="138" t="s">
        <v>19</v>
      </c>
      <c r="G35" s="220" t="s">
        <v>20</v>
      </c>
      <c r="H35" s="34">
        <v>1</v>
      </c>
      <c r="I35" s="42">
        <f t="shared" si="0"/>
        <v>790</v>
      </c>
      <c r="J35" s="66">
        <f t="shared" si="1"/>
        <v>790</v>
      </c>
      <c r="K35" s="77">
        <v>533</v>
      </c>
      <c r="L35" s="61">
        <f t="shared" si="18"/>
        <v>503</v>
      </c>
      <c r="M35" s="43">
        <f t="shared" si="2"/>
        <v>460</v>
      </c>
      <c r="N35" s="43">
        <f t="shared" si="3"/>
        <v>450</v>
      </c>
      <c r="O35" s="43">
        <f t="shared" si="4"/>
        <v>430</v>
      </c>
      <c r="P35" s="66">
        <f t="shared" si="5"/>
        <v>403</v>
      </c>
      <c r="Q35" s="5">
        <f t="shared" si="38"/>
        <v>0.67500000000000004</v>
      </c>
      <c r="R35" s="73">
        <f t="shared" si="20"/>
        <v>0.63700000000000001</v>
      </c>
      <c r="S35" s="44">
        <f t="shared" si="21"/>
        <v>0.58199999999999996</v>
      </c>
      <c r="T35" s="44">
        <f t="shared" si="22"/>
        <v>0.56999999999999995</v>
      </c>
      <c r="U35" s="44">
        <f t="shared" si="23"/>
        <v>0.54400000000000004</v>
      </c>
      <c r="V35" s="450">
        <f t="shared" si="24"/>
        <v>0.51</v>
      </c>
      <c r="Y35" s="61">
        <f t="shared" si="11"/>
        <v>790</v>
      </c>
      <c r="Z35" s="66">
        <f t="shared" si="25"/>
        <v>790</v>
      </c>
      <c r="AA35" s="77">
        <f t="shared" si="26"/>
        <v>533</v>
      </c>
      <c r="AB35" s="61">
        <f t="shared" si="27"/>
        <v>503</v>
      </c>
      <c r="AC35" s="43">
        <f t="shared" si="28"/>
        <v>460</v>
      </c>
      <c r="AD35" s="43">
        <f t="shared" si="29"/>
        <v>450</v>
      </c>
      <c r="AE35" s="43">
        <f t="shared" si="30"/>
        <v>430</v>
      </c>
      <c r="AF35" s="66">
        <f t="shared" si="31"/>
        <v>403</v>
      </c>
      <c r="AG35" s="5">
        <f t="shared" si="32"/>
        <v>0.67500000000000004</v>
      </c>
      <c r="AH35" s="73">
        <f t="shared" si="33"/>
        <v>0.63700000000000001</v>
      </c>
      <c r="AI35" s="44">
        <f t="shared" si="34"/>
        <v>0.58199999999999996</v>
      </c>
      <c r="AJ35" s="44">
        <f t="shared" si="35"/>
        <v>0.56999999999999995</v>
      </c>
      <c r="AK35" s="44">
        <f t="shared" si="36"/>
        <v>0.54400000000000004</v>
      </c>
      <c r="AL35" s="45">
        <f t="shared" si="37"/>
        <v>0.51</v>
      </c>
    </row>
    <row r="36" spans="1:38" x14ac:dyDescent="0.35">
      <c r="A36" s="250">
        <v>112</v>
      </c>
      <c r="B36" s="118">
        <v>1161</v>
      </c>
      <c r="C36">
        <v>4</v>
      </c>
      <c r="D36">
        <v>4</v>
      </c>
      <c r="E36" s="125" t="s">
        <v>48</v>
      </c>
      <c r="F36" s="126" t="s">
        <v>19</v>
      </c>
      <c r="G36" s="217" t="s">
        <v>20</v>
      </c>
      <c r="H36" s="34">
        <v>1</v>
      </c>
      <c r="I36" s="42">
        <f t="shared" si="0"/>
        <v>998</v>
      </c>
      <c r="J36" s="66">
        <f t="shared" si="1"/>
        <v>998</v>
      </c>
      <c r="K36" s="77">
        <v>943</v>
      </c>
      <c r="L36" s="61">
        <f t="shared" si="18"/>
        <v>956</v>
      </c>
      <c r="M36" s="43">
        <f t="shared" si="2"/>
        <v>971</v>
      </c>
      <c r="N36" s="43">
        <f t="shared" si="3"/>
        <v>955</v>
      </c>
      <c r="O36" s="43">
        <f t="shared" si="4"/>
        <v>914</v>
      </c>
      <c r="P36" s="66">
        <f t="shared" si="5"/>
        <v>890</v>
      </c>
      <c r="Q36" s="5">
        <f t="shared" si="38"/>
        <v>0.94499999999999995</v>
      </c>
      <c r="R36" s="73">
        <f t="shared" si="20"/>
        <v>0.95799999999999996</v>
      </c>
      <c r="S36" s="44">
        <f t="shared" si="21"/>
        <v>0.97299999999999998</v>
      </c>
      <c r="T36" s="44">
        <f t="shared" si="22"/>
        <v>0.95699999999999996</v>
      </c>
      <c r="U36" s="44">
        <f t="shared" si="23"/>
        <v>0.91600000000000004</v>
      </c>
      <c r="V36" s="450">
        <f t="shared" si="24"/>
        <v>0.89200000000000002</v>
      </c>
      <c r="Y36" s="61">
        <f t="shared" si="11"/>
        <v>866</v>
      </c>
      <c r="Z36" s="66">
        <f t="shared" si="25"/>
        <v>866</v>
      </c>
      <c r="AA36" s="77">
        <f t="shared" si="26"/>
        <v>943</v>
      </c>
      <c r="AB36" s="61">
        <f t="shared" si="27"/>
        <v>956</v>
      </c>
      <c r="AC36" s="43">
        <f t="shared" si="28"/>
        <v>971</v>
      </c>
      <c r="AD36" s="43">
        <f t="shared" si="29"/>
        <v>955</v>
      </c>
      <c r="AE36" s="43">
        <f t="shared" si="30"/>
        <v>914</v>
      </c>
      <c r="AF36" s="66">
        <f t="shared" si="31"/>
        <v>890</v>
      </c>
      <c r="AG36" s="5">
        <f t="shared" si="32"/>
        <v>1.089</v>
      </c>
      <c r="AH36" s="73">
        <f t="shared" si="33"/>
        <v>1.1040000000000001</v>
      </c>
      <c r="AI36" s="44">
        <f t="shared" si="34"/>
        <v>1.121</v>
      </c>
      <c r="AJ36" s="44">
        <f t="shared" si="35"/>
        <v>1.103</v>
      </c>
      <c r="AK36" s="44">
        <f t="shared" si="36"/>
        <v>1.0549999999999999</v>
      </c>
      <c r="AL36" s="45">
        <f t="shared" si="37"/>
        <v>1.028</v>
      </c>
    </row>
    <row r="37" spans="1:38" x14ac:dyDescent="0.35">
      <c r="A37" s="250">
        <v>40</v>
      </c>
      <c r="B37" s="118">
        <v>2161</v>
      </c>
      <c r="C37">
        <v>5</v>
      </c>
      <c r="D37">
        <v>4</v>
      </c>
      <c r="E37" s="132" t="s">
        <v>49</v>
      </c>
      <c r="F37" s="133" t="s">
        <v>19</v>
      </c>
      <c r="G37" s="218" t="s">
        <v>20</v>
      </c>
      <c r="H37" s="31">
        <v>1</v>
      </c>
      <c r="I37" s="42">
        <f t="shared" si="0"/>
        <v>838</v>
      </c>
      <c r="J37" s="66">
        <f t="shared" si="1"/>
        <v>838</v>
      </c>
      <c r="K37" s="77">
        <v>676</v>
      </c>
      <c r="L37" s="61">
        <f t="shared" si="18"/>
        <v>652</v>
      </c>
      <c r="M37" s="43">
        <f t="shared" si="2"/>
        <v>635</v>
      </c>
      <c r="N37" s="43">
        <f t="shared" si="3"/>
        <v>637</v>
      </c>
      <c r="O37" s="43">
        <f t="shared" si="4"/>
        <v>627</v>
      </c>
      <c r="P37" s="66">
        <f t="shared" si="5"/>
        <v>623</v>
      </c>
      <c r="Q37" s="5">
        <f t="shared" si="38"/>
        <v>0.80700000000000005</v>
      </c>
      <c r="R37" s="73">
        <f t="shared" si="20"/>
        <v>0.77800000000000002</v>
      </c>
      <c r="S37" s="44">
        <f t="shared" si="21"/>
        <v>0.75800000000000001</v>
      </c>
      <c r="T37" s="44">
        <f t="shared" si="22"/>
        <v>0.76</v>
      </c>
      <c r="U37" s="44">
        <f t="shared" si="23"/>
        <v>0.748</v>
      </c>
      <c r="V37" s="450">
        <f t="shared" si="24"/>
        <v>0.74299999999999999</v>
      </c>
      <c r="Y37" s="61">
        <f t="shared" si="11"/>
        <v>754</v>
      </c>
      <c r="Z37" s="66">
        <f t="shared" si="25"/>
        <v>754</v>
      </c>
      <c r="AA37" s="77">
        <f t="shared" si="26"/>
        <v>676</v>
      </c>
      <c r="AB37" s="61">
        <f t="shared" si="27"/>
        <v>652</v>
      </c>
      <c r="AC37" s="43">
        <f t="shared" si="28"/>
        <v>635</v>
      </c>
      <c r="AD37" s="43">
        <f t="shared" si="29"/>
        <v>637</v>
      </c>
      <c r="AE37" s="43">
        <f t="shared" si="30"/>
        <v>627</v>
      </c>
      <c r="AF37" s="66">
        <f t="shared" si="31"/>
        <v>623</v>
      </c>
      <c r="AG37" s="5">
        <f t="shared" si="32"/>
        <v>0.89700000000000002</v>
      </c>
      <c r="AH37" s="73">
        <f t="shared" si="33"/>
        <v>0.86499999999999999</v>
      </c>
      <c r="AI37" s="44">
        <f t="shared" si="34"/>
        <v>0.84199999999999997</v>
      </c>
      <c r="AJ37" s="44">
        <f t="shared" si="35"/>
        <v>0.84499999999999997</v>
      </c>
      <c r="AK37" s="44">
        <f t="shared" si="36"/>
        <v>0.83199999999999996</v>
      </c>
      <c r="AL37" s="45">
        <f t="shared" si="37"/>
        <v>0.82599999999999996</v>
      </c>
    </row>
    <row r="38" spans="1:38" x14ac:dyDescent="0.35">
      <c r="A38" s="251">
        <v>120</v>
      </c>
      <c r="B38" s="118">
        <v>2031</v>
      </c>
      <c r="C38">
        <v>5</v>
      </c>
      <c r="D38">
        <v>4</v>
      </c>
      <c r="E38" s="132" t="s">
        <v>50</v>
      </c>
      <c r="F38" s="139" t="s">
        <v>19</v>
      </c>
      <c r="G38" s="221" t="s">
        <v>51</v>
      </c>
      <c r="H38" s="31">
        <v>1</v>
      </c>
      <c r="I38" s="42">
        <f t="shared" si="0"/>
        <v>982</v>
      </c>
      <c r="J38" s="66">
        <f t="shared" si="1"/>
        <v>982</v>
      </c>
      <c r="K38" s="77">
        <v>757</v>
      </c>
      <c r="L38" s="61">
        <f t="shared" si="18"/>
        <v>723</v>
      </c>
      <c r="M38" s="43">
        <f t="shared" si="2"/>
        <v>680</v>
      </c>
      <c r="N38" s="43">
        <f t="shared" si="3"/>
        <v>609</v>
      </c>
      <c r="O38" s="43">
        <f t="shared" si="4"/>
        <v>562</v>
      </c>
      <c r="P38" s="66">
        <f t="shared" si="5"/>
        <v>518</v>
      </c>
      <c r="Q38" s="5">
        <f t="shared" si="38"/>
        <v>0.77100000000000002</v>
      </c>
      <c r="R38" s="73">
        <f t="shared" si="20"/>
        <v>0.73599999999999999</v>
      </c>
      <c r="S38" s="44">
        <f t="shared" si="21"/>
        <v>0.69199999999999995</v>
      </c>
      <c r="T38" s="44">
        <f t="shared" si="22"/>
        <v>0.62</v>
      </c>
      <c r="U38" s="44">
        <f t="shared" si="23"/>
        <v>0.57199999999999995</v>
      </c>
      <c r="V38" s="450">
        <f t="shared" si="24"/>
        <v>0.52700000000000002</v>
      </c>
      <c r="Y38" s="61">
        <f t="shared" si="11"/>
        <v>894</v>
      </c>
      <c r="Z38" s="66">
        <f t="shared" si="25"/>
        <v>894</v>
      </c>
      <c r="AA38" s="77">
        <f t="shared" si="26"/>
        <v>757</v>
      </c>
      <c r="AB38" s="61">
        <f t="shared" si="27"/>
        <v>723</v>
      </c>
      <c r="AC38" s="43">
        <f t="shared" si="28"/>
        <v>680</v>
      </c>
      <c r="AD38" s="43">
        <f t="shared" si="29"/>
        <v>609</v>
      </c>
      <c r="AE38" s="43">
        <f t="shared" si="30"/>
        <v>562</v>
      </c>
      <c r="AF38" s="66">
        <f t="shared" si="31"/>
        <v>518</v>
      </c>
      <c r="AG38" s="5">
        <f t="shared" si="32"/>
        <v>0.84699999999999998</v>
      </c>
      <c r="AH38" s="73">
        <f t="shared" si="33"/>
        <v>0.80900000000000005</v>
      </c>
      <c r="AI38" s="44">
        <f t="shared" si="34"/>
        <v>0.76100000000000001</v>
      </c>
      <c r="AJ38" s="44">
        <f t="shared" si="35"/>
        <v>0.68100000000000005</v>
      </c>
      <c r="AK38" s="44">
        <f t="shared" si="36"/>
        <v>0.629</v>
      </c>
      <c r="AL38" s="45">
        <f t="shared" si="37"/>
        <v>0.57899999999999996</v>
      </c>
    </row>
    <row r="39" spans="1:38" x14ac:dyDescent="0.35">
      <c r="A39" s="250">
        <v>105</v>
      </c>
      <c r="B39" s="118">
        <v>2041</v>
      </c>
      <c r="C39">
        <v>5</v>
      </c>
      <c r="D39">
        <v>4</v>
      </c>
      <c r="E39" s="132" t="s">
        <v>52</v>
      </c>
      <c r="F39" s="139" t="s">
        <v>19</v>
      </c>
      <c r="G39" s="221" t="s">
        <v>629</v>
      </c>
      <c r="H39" s="31">
        <v>1</v>
      </c>
      <c r="I39" s="131">
        <f t="shared" si="0"/>
        <v>824</v>
      </c>
      <c r="J39" s="66">
        <f t="shared" si="1"/>
        <v>824</v>
      </c>
      <c r="K39" s="77">
        <v>518</v>
      </c>
      <c r="L39" s="61">
        <f t="shared" si="18"/>
        <v>475</v>
      </c>
      <c r="M39" s="43">
        <f t="shared" si="2"/>
        <v>436</v>
      </c>
      <c r="N39" s="43">
        <f t="shared" si="3"/>
        <v>436</v>
      </c>
      <c r="O39" s="43">
        <f t="shared" si="4"/>
        <v>436</v>
      </c>
      <c r="P39" s="66">
        <f t="shared" si="5"/>
        <v>436</v>
      </c>
      <c r="Q39" s="5">
        <f t="shared" si="38"/>
        <v>0.629</v>
      </c>
      <c r="R39" s="525">
        <f t="shared" si="20"/>
        <v>0.57599999999999996</v>
      </c>
      <c r="S39" s="526">
        <f t="shared" si="21"/>
        <v>0.52900000000000003</v>
      </c>
      <c r="T39" s="526">
        <f t="shared" si="22"/>
        <v>0.52900000000000003</v>
      </c>
      <c r="U39" s="526">
        <f t="shared" si="23"/>
        <v>0.52900000000000003</v>
      </c>
      <c r="V39" s="532">
        <f t="shared" si="24"/>
        <v>0.52900000000000003</v>
      </c>
      <c r="Y39" s="439">
        <f t="shared" si="11"/>
        <v>824</v>
      </c>
      <c r="Z39" s="66">
        <f t="shared" si="25"/>
        <v>824</v>
      </c>
      <c r="AA39" s="77">
        <f t="shared" si="26"/>
        <v>518</v>
      </c>
      <c r="AB39" s="61">
        <f t="shared" si="27"/>
        <v>475</v>
      </c>
      <c r="AC39" s="43">
        <f t="shared" si="28"/>
        <v>436</v>
      </c>
      <c r="AD39" s="43">
        <f t="shared" si="29"/>
        <v>436</v>
      </c>
      <c r="AE39" s="43">
        <f t="shared" si="30"/>
        <v>436</v>
      </c>
      <c r="AF39" s="66">
        <f t="shared" si="31"/>
        <v>436</v>
      </c>
      <c r="AG39" s="5">
        <f t="shared" si="32"/>
        <v>0.629</v>
      </c>
      <c r="AH39" s="73">
        <f t="shared" si="33"/>
        <v>0.57599999999999996</v>
      </c>
      <c r="AI39" s="44">
        <f t="shared" si="34"/>
        <v>0.52900000000000003</v>
      </c>
      <c r="AJ39" s="44">
        <f t="shared" si="35"/>
        <v>0.52900000000000003</v>
      </c>
      <c r="AK39" s="44">
        <f t="shared" si="36"/>
        <v>0.52900000000000003</v>
      </c>
      <c r="AL39" s="45">
        <f t="shared" si="37"/>
        <v>0.52900000000000003</v>
      </c>
    </row>
    <row r="40" spans="1:38" hidden="1" x14ac:dyDescent="0.35">
      <c r="A40" s="250"/>
      <c r="E40" s="490"/>
      <c r="F40" s="491"/>
      <c r="G40" s="492" t="s">
        <v>20</v>
      </c>
      <c r="H40" s="493"/>
      <c r="I40" s="131"/>
      <c r="J40" s="494"/>
      <c r="K40" s="77"/>
      <c r="L40" s="61"/>
      <c r="M40" s="495"/>
      <c r="N40" s="495"/>
      <c r="O40" s="495"/>
      <c r="P40" s="494"/>
      <c r="Q40" s="5"/>
      <c r="R40" s="529"/>
      <c r="S40" s="531"/>
      <c r="T40" s="531"/>
      <c r="U40" s="531"/>
      <c r="V40" s="530"/>
      <c r="Y40" s="439"/>
      <c r="Z40" s="494"/>
      <c r="AA40" s="77"/>
      <c r="AB40" s="61"/>
      <c r="AC40" s="495"/>
      <c r="AD40" s="495"/>
      <c r="AE40" s="495"/>
      <c r="AF40" s="494"/>
      <c r="AG40" s="5"/>
      <c r="AH40" s="73"/>
      <c r="AI40" s="496"/>
      <c r="AJ40" s="496"/>
      <c r="AK40" s="496"/>
      <c r="AL40" s="450"/>
    </row>
    <row r="41" spans="1:38" x14ac:dyDescent="0.35">
      <c r="A41" s="250">
        <v>56</v>
      </c>
      <c r="B41" s="118">
        <v>4031</v>
      </c>
      <c r="C41">
        <v>2</v>
      </c>
      <c r="D41">
        <v>4</v>
      </c>
      <c r="E41" s="125" t="s">
        <v>53</v>
      </c>
      <c r="F41" s="126" t="s">
        <v>19</v>
      </c>
      <c r="G41" s="217" t="s">
        <v>20</v>
      </c>
      <c r="H41" s="34">
        <v>1</v>
      </c>
      <c r="I41" s="131">
        <f t="shared" si="0"/>
        <v>618</v>
      </c>
      <c r="J41" s="504">
        <f t="shared" si="1"/>
        <v>618</v>
      </c>
      <c r="K41" s="77">
        <v>364</v>
      </c>
      <c r="L41" s="432">
        <f t="shared" ref="L40:L71" si="39">VLOOKUP(B41,budgeting2025,11,FALSE)</f>
        <v>364</v>
      </c>
      <c r="M41" s="503">
        <f t="shared" ref="M40:M71" si="40">VLOOKUP(B41,Combo2024,29,FALSE)</f>
        <v>369</v>
      </c>
      <c r="N41" s="503">
        <f t="shared" ref="N40:N71" si="41">VLOOKUP(B41,Combo2024,30,FALSE)</f>
        <v>375</v>
      </c>
      <c r="O41" s="503">
        <f t="shared" ref="O40:O71" si="42">VLOOKUP(B41,Combo2024,31,FALSE)</f>
        <v>380</v>
      </c>
      <c r="P41" s="504">
        <f t="shared" ref="P40:P71" si="43">VLOOKUP(B41,Combo2024,32,FALSE)</f>
        <v>385</v>
      </c>
      <c r="Q41" s="524">
        <f t="shared" si="38"/>
        <v>0.58899999999999997</v>
      </c>
      <c r="R41" s="525">
        <f t="shared" ref="R41" si="44">ROUND(L41/$J41,3)</f>
        <v>0.58899999999999997</v>
      </c>
      <c r="S41" s="526">
        <f t="shared" ref="S41" si="45">ROUND(M41/$J41,3)</f>
        <v>0.59699999999999998</v>
      </c>
      <c r="T41" s="526">
        <f t="shared" ref="T41" si="46">ROUND(N41/$J41,3)</f>
        <v>0.60699999999999998</v>
      </c>
      <c r="U41" s="526">
        <f t="shared" ref="U41" si="47">ROUND(O41/$J41,3)</f>
        <v>0.61499999999999999</v>
      </c>
      <c r="V41" s="532">
        <f t="shared" ref="V41" si="48">ROUND(P41/$J41,3)</f>
        <v>0.623</v>
      </c>
      <c r="Y41" s="439">
        <f t="shared" si="11"/>
        <v>618</v>
      </c>
      <c r="Z41" s="66">
        <f t="shared" si="25"/>
        <v>618</v>
      </c>
      <c r="AA41" s="77">
        <f t="shared" si="26"/>
        <v>364</v>
      </c>
      <c r="AB41" s="61">
        <f t="shared" si="27"/>
        <v>364</v>
      </c>
      <c r="AC41" s="43">
        <f t="shared" si="28"/>
        <v>369</v>
      </c>
      <c r="AD41" s="43">
        <f t="shared" si="29"/>
        <v>375</v>
      </c>
      <c r="AE41" s="43">
        <f t="shared" si="30"/>
        <v>380</v>
      </c>
      <c r="AF41" s="66">
        <f t="shared" si="31"/>
        <v>385</v>
      </c>
      <c r="AG41" s="5">
        <f t="shared" si="32"/>
        <v>0.58899999999999997</v>
      </c>
      <c r="AH41" s="73">
        <f t="shared" si="33"/>
        <v>0.58899999999999997</v>
      </c>
      <c r="AI41" s="44">
        <f t="shared" si="34"/>
        <v>0.59699999999999998</v>
      </c>
      <c r="AJ41" s="44">
        <f t="shared" si="35"/>
        <v>0.60699999999999998</v>
      </c>
      <c r="AK41" s="44">
        <f t="shared" si="36"/>
        <v>0.61499999999999999</v>
      </c>
      <c r="AL41" s="45">
        <f t="shared" si="37"/>
        <v>0.623</v>
      </c>
    </row>
    <row r="42" spans="1:38" x14ac:dyDescent="0.35">
      <c r="A42" s="250">
        <v>7</v>
      </c>
      <c r="B42" s="118">
        <v>101</v>
      </c>
      <c r="C42">
        <v>1</v>
      </c>
      <c r="D42">
        <v>4</v>
      </c>
      <c r="E42" s="125" t="s">
        <v>54</v>
      </c>
      <c r="F42" s="126" t="s">
        <v>19</v>
      </c>
      <c r="G42" s="217" t="s">
        <v>20</v>
      </c>
      <c r="H42" s="34">
        <v>1</v>
      </c>
      <c r="I42" s="131">
        <f t="shared" si="0"/>
        <v>725</v>
      </c>
      <c r="J42" s="66">
        <f t="shared" si="1"/>
        <v>725</v>
      </c>
      <c r="K42" s="77">
        <v>407</v>
      </c>
      <c r="L42" s="61">
        <f t="shared" si="39"/>
        <v>392</v>
      </c>
      <c r="M42" s="43">
        <f t="shared" si="40"/>
        <v>364</v>
      </c>
      <c r="N42" s="43">
        <f t="shared" si="41"/>
        <v>346</v>
      </c>
      <c r="O42" s="43">
        <f t="shared" si="42"/>
        <v>329</v>
      </c>
      <c r="P42" s="66">
        <f t="shared" si="43"/>
        <v>328</v>
      </c>
      <c r="Q42" s="5">
        <f t="shared" si="38"/>
        <v>0.56100000000000005</v>
      </c>
      <c r="R42" s="73">
        <f t="shared" si="20"/>
        <v>0.54100000000000004</v>
      </c>
      <c r="S42" s="44">
        <f t="shared" si="21"/>
        <v>0.502</v>
      </c>
      <c r="T42" s="44">
        <f t="shared" si="22"/>
        <v>0.47699999999999998</v>
      </c>
      <c r="U42" s="44">
        <f t="shared" si="23"/>
        <v>0.45400000000000001</v>
      </c>
      <c r="V42" s="450">
        <f t="shared" si="24"/>
        <v>0.45200000000000001</v>
      </c>
      <c r="Y42" s="439">
        <f t="shared" si="11"/>
        <v>725</v>
      </c>
      <c r="Z42" s="66">
        <f t="shared" si="25"/>
        <v>725</v>
      </c>
      <c r="AA42" s="77">
        <f t="shared" si="26"/>
        <v>407</v>
      </c>
      <c r="AB42" s="61">
        <f t="shared" si="27"/>
        <v>392</v>
      </c>
      <c r="AC42" s="43">
        <f t="shared" si="28"/>
        <v>364</v>
      </c>
      <c r="AD42" s="43">
        <f t="shared" si="29"/>
        <v>346</v>
      </c>
      <c r="AE42" s="43">
        <f t="shared" si="30"/>
        <v>329</v>
      </c>
      <c r="AF42" s="66">
        <f t="shared" si="31"/>
        <v>328</v>
      </c>
      <c r="AG42" s="5">
        <f t="shared" si="32"/>
        <v>0.56100000000000005</v>
      </c>
      <c r="AH42" s="73">
        <f t="shared" si="33"/>
        <v>0.54100000000000004</v>
      </c>
      <c r="AI42" s="44">
        <f t="shared" si="34"/>
        <v>0.502</v>
      </c>
      <c r="AJ42" s="44">
        <f t="shared" si="35"/>
        <v>0.47699999999999998</v>
      </c>
      <c r="AK42" s="44">
        <f t="shared" si="36"/>
        <v>0.45400000000000001</v>
      </c>
      <c r="AL42" s="45">
        <f t="shared" si="37"/>
        <v>0.45200000000000001</v>
      </c>
    </row>
    <row r="43" spans="1:38" x14ac:dyDescent="0.35">
      <c r="A43" s="250">
        <v>2</v>
      </c>
      <c r="B43" s="118">
        <v>51</v>
      </c>
      <c r="C43">
        <v>1</v>
      </c>
      <c r="D43">
        <v>4</v>
      </c>
      <c r="E43" s="125" t="s">
        <v>55</v>
      </c>
      <c r="F43" s="138" t="s">
        <v>19</v>
      </c>
      <c r="G43" s="220" t="s">
        <v>20</v>
      </c>
      <c r="H43" s="34">
        <v>1</v>
      </c>
      <c r="I43" s="42">
        <f t="shared" si="0"/>
        <v>906</v>
      </c>
      <c r="J43" s="66">
        <f t="shared" si="1"/>
        <v>906</v>
      </c>
      <c r="K43" s="77">
        <v>491</v>
      </c>
      <c r="L43" s="61">
        <f t="shared" si="39"/>
        <v>491</v>
      </c>
      <c r="M43" s="43">
        <f t="shared" si="40"/>
        <v>473</v>
      </c>
      <c r="N43" s="43">
        <f t="shared" si="41"/>
        <v>455</v>
      </c>
      <c r="O43" s="43">
        <f t="shared" si="42"/>
        <v>443</v>
      </c>
      <c r="P43" s="66">
        <f t="shared" si="43"/>
        <v>450</v>
      </c>
      <c r="Q43" s="5">
        <f t="shared" si="38"/>
        <v>0.54200000000000004</v>
      </c>
      <c r="R43" s="73">
        <f t="shared" si="20"/>
        <v>0.54200000000000004</v>
      </c>
      <c r="S43" s="44">
        <f t="shared" si="21"/>
        <v>0.52200000000000002</v>
      </c>
      <c r="T43" s="44">
        <f t="shared" si="22"/>
        <v>0.502</v>
      </c>
      <c r="U43" s="44">
        <f t="shared" si="23"/>
        <v>0.48899999999999999</v>
      </c>
      <c r="V43" s="450">
        <f t="shared" si="24"/>
        <v>0.497</v>
      </c>
      <c r="Y43" s="61">
        <f t="shared" si="11"/>
        <v>906</v>
      </c>
      <c r="Z43" s="66">
        <f t="shared" si="25"/>
        <v>906</v>
      </c>
      <c r="AA43" s="77">
        <f t="shared" si="26"/>
        <v>491</v>
      </c>
      <c r="AB43" s="61">
        <f t="shared" si="27"/>
        <v>491</v>
      </c>
      <c r="AC43" s="43">
        <f t="shared" si="28"/>
        <v>473</v>
      </c>
      <c r="AD43" s="43">
        <f t="shared" si="29"/>
        <v>455</v>
      </c>
      <c r="AE43" s="43">
        <f t="shared" si="30"/>
        <v>443</v>
      </c>
      <c r="AF43" s="66">
        <f t="shared" si="31"/>
        <v>450</v>
      </c>
      <c r="AG43" s="5">
        <f t="shared" si="32"/>
        <v>0.54200000000000004</v>
      </c>
      <c r="AH43" s="73">
        <f t="shared" si="33"/>
        <v>0.54200000000000004</v>
      </c>
      <c r="AI43" s="44">
        <f t="shared" si="34"/>
        <v>0.52200000000000002</v>
      </c>
      <c r="AJ43" s="44">
        <f t="shared" si="35"/>
        <v>0.502</v>
      </c>
      <c r="AK43" s="44">
        <f t="shared" si="36"/>
        <v>0.48899999999999999</v>
      </c>
      <c r="AL43" s="45">
        <f t="shared" si="37"/>
        <v>0.497</v>
      </c>
    </row>
    <row r="44" spans="1:38" x14ac:dyDescent="0.35">
      <c r="A44" s="250">
        <v>71</v>
      </c>
      <c r="B44" s="118">
        <v>6071</v>
      </c>
      <c r="C44">
        <v>3</v>
      </c>
      <c r="D44">
        <v>4</v>
      </c>
      <c r="E44" s="125" t="s">
        <v>56</v>
      </c>
      <c r="F44" s="126" t="s">
        <v>19</v>
      </c>
      <c r="G44" s="217" t="s">
        <v>20</v>
      </c>
      <c r="H44" s="34">
        <v>1</v>
      </c>
      <c r="I44" s="42">
        <f t="shared" si="0"/>
        <v>654</v>
      </c>
      <c r="J44" s="66">
        <f t="shared" si="1"/>
        <v>654</v>
      </c>
      <c r="K44" s="77">
        <v>462</v>
      </c>
      <c r="L44" s="61">
        <f t="shared" si="39"/>
        <v>467</v>
      </c>
      <c r="M44" s="43">
        <f t="shared" si="40"/>
        <v>444</v>
      </c>
      <c r="N44" s="43">
        <f t="shared" si="41"/>
        <v>410</v>
      </c>
      <c r="O44" s="43">
        <f t="shared" si="42"/>
        <v>389</v>
      </c>
      <c r="P44" s="66">
        <f t="shared" si="43"/>
        <v>370</v>
      </c>
      <c r="Q44" s="5">
        <f t="shared" si="38"/>
        <v>0.70599999999999996</v>
      </c>
      <c r="R44" s="73">
        <f t="shared" si="20"/>
        <v>0.71399999999999997</v>
      </c>
      <c r="S44" s="44">
        <f t="shared" si="21"/>
        <v>0.67900000000000005</v>
      </c>
      <c r="T44" s="44">
        <f t="shared" si="22"/>
        <v>0.627</v>
      </c>
      <c r="U44" s="44">
        <f t="shared" si="23"/>
        <v>0.59499999999999997</v>
      </c>
      <c r="V44" s="450">
        <f t="shared" si="24"/>
        <v>0.56599999999999995</v>
      </c>
      <c r="Y44" s="61">
        <f t="shared" si="11"/>
        <v>498</v>
      </c>
      <c r="Z44" s="66">
        <f t="shared" si="25"/>
        <v>498</v>
      </c>
      <c r="AA44" s="77">
        <f t="shared" si="26"/>
        <v>462</v>
      </c>
      <c r="AB44" s="61">
        <f t="shared" si="27"/>
        <v>467</v>
      </c>
      <c r="AC44" s="43">
        <f t="shared" si="28"/>
        <v>444</v>
      </c>
      <c r="AD44" s="43">
        <f t="shared" si="29"/>
        <v>410</v>
      </c>
      <c r="AE44" s="43">
        <f t="shared" si="30"/>
        <v>389</v>
      </c>
      <c r="AF44" s="66">
        <f t="shared" si="31"/>
        <v>370</v>
      </c>
      <c r="AG44" s="5">
        <f t="shared" si="32"/>
        <v>0.92800000000000005</v>
      </c>
      <c r="AH44" s="73">
        <f t="shared" si="33"/>
        <v>0.93799999999999994</v>
      </c>
      <c r="AI44" s="44">
        <f t="shared" si="34"/>
        <v>0.89200000000000002</v>
      </c>
      <c r="AJ44" s="44">
        <f t="shared" si="35"/>
        <v>0.82299999999999995</v>
      </c>
      <c r="AK44" s="44">
        <f t="shared" si="36"/>
        <v>0.78100000000000003</v>
      </c>
      <c r="AL44" s="45">
        <f t="shared" si="37"/>
        <v>0.74299999999999999</v>
      </c>
    </row>
    <row r="45" spans="1:38" x14ac:dyDescent="0.35">
      <c r="A45" s="250">
        <v>34</v>
      </c>
      <c r="B45" s="118">
        <v>2081</v>
      </c>
      <c r="C45">
        <v>3</v>
      </c>
      <c r="D45">
        <v>4</v>
      </c>
      <c r="E45" s="132" t="s">
        <v>506</v>
      </c>
      <c r="F45" s="133" t="s">
        <v>19</v>
      </c>
      <c r="G45" s="218" t="s">
        <v>20</v>
      </c>
      <c r="H45" s="31">
        <v>1</v>
      </c>
      <c r="I45" s="131">
        <f t="shared" si="0"/>
        <v>983</v>
      </c>
      <c r="J45" s="66">
        <f t="shared" si="1"/>
        <v>983</v>
      </c>
      <c r="K45" s="77">
        <v>531</v>
      </c>
      <c r="L45" s="61">
        <f t="shared" si="39"/>
        <v>500</v>
      </c>
      <c r="M45" s="43">
        <f t="shared" si="40"/>
        <v>504</v>
      </c>
      <c r="N45" s="43">
        <f t="shared" si="41"/>
        <v>490</v>
      </c>
      <c r="O45" s="43">
        <f t="shared" si="42"/>
        <v>503</v>
      </c>
      <c r="P45" s="66">
        <f t="shared" si="43"/>
        <v>492</v>
      </c>
      <c r="Q45" s="5">
        <f t="shared" si="38"/>
        <v>0.54</v>
      </c>
      <c r="R45" s="73">
        <f t="shared" si="20"/>
        <v>0.50900000000000001</v>
      </c>
      <c r="S45" s="44">
        <f t="shared" si="21"/>
        <v>0.51300000000000001</v>
      </c>
      <c r="T45" s="44">
        <f t="shared" si="22"/>
        <v>0.498</v>
      </c>
      <c r="U45" s="44">
        <f t="shared" si="23"/>
        <v>0.51200000000000001</v>
      </c>
      <c r="V45" s="450">
        <f t="shared" si="24"/>
        <v>0.501</v>
      </c>
      <c r="Y45" s="439">
        <f t="shared" si="11"/>
        <v>807</v>
      </c>
      <c r="Z45" s="66">
        <f t="shared" si="25"/>
        <v>807</v>
      </c>
      <c r="AA45" s="77">
        <f t="shared" si="26"/>
        <v>531</v>
      </c>
      <c r="AB45" s="61">
        <f t="shared" si="27"/>
        <v>500</v>
      </c>
      <c r="AC45" s="43">
        <f t="shared" si="28"/>
        <v>504</v>
      </c>
      <c r="AD45" s="43">
        <f t="shared" si="29"/>
        <v>490</v>
      </c>
      <c r="AE45" s="43">
        <f t="shared" si="30"/>
        <v>503</v>
      </c>
      <c r="AF45" s="66">
        <f t="shared" si="31"/>
        <v>492</v>
      </c>
      <c r="AG45" s="5">
        <f t="shared" si="32"/>
        <v>0.65800000000000003</v>
      </c>
      <c r="AH45" s="73">
        <f t="shared" si="33"/>
        <v>0.62</v>
      </c>
      <c r="AI45" s="44">
        <f t="shared" si="34"/>
        <v>0.625</v>
      </c>
      <c r="AJ45" s="44">
        <f t="shared" si="35"/>
        <v>0.60699999999999998</v>
      </c>
      <c r="AK45" s="44">
        <f t="shared" si="36"/>
        <v>0.623</v>
      </c>
      <c r="AL45" s="45">
        <f t="shared" si="37"/>
        <v>0.61</v>
      </c>
    </row>
    <row r="46" spans="1:38" x14ac:dyDescent="0.35">
      <c r="A46" s="250">
        <v>13</v>
      </c>
      <c r="B46" s="118">
        <v>181</v>
      </c>
      <c r="C46">
        <v>1</v>
      </c>
      <c r="D46">
        <v>4</v>
      </c>
      <c r="E46" s="125" t="s">
        <v>58</v>
      </c>
      <c r="F46" s="126" t="s">
        <v>19</v>
      </c>
      <c r="G46" s="217" t="s">
        <v>20</v>
      </c>
      <c r="H46" s="34">
        <v>1</v>
      </c>
      <c r="I46" s="42">
        <f t="shared" si="0"/>
        <v>613</v>
      </c>
      <c r="J46" s="66">
        <f t="shared" si="1"/>
        <v>613</v>
      </c>
      <c r="K46" s="77">
        <v>439</v>
      </c>
      <c r="L46" s="61">
        <f t="shared" si="39"/>
        <v>430</v>
      </c>
      <c r="M46" s="43">
        <f t="shared" si="40"/>
        <v>464</v>
      </c>
      <c r="N46" s="43">
        <f t="shared" si="41"/>
        <v>483</v>
      </c>
      <c r="O46" s="43">
        <f t="shared" si="42"/>
        <v>496</v>
      </c>
      <c r="P46" s="66">
        <f t="shared" si="43"/>
        <v>492</v>
      </c>
      <c r="Q46" s="5">
        <f t="shared" si="38"/>
        <v>0.71599999999999997</v>
      </c>
      <c r="R46" s="73">
        <f t="shared" si="20"/>
        <v>0.70099999999999996</v>
      </c>
      <c r="S46" s="44">
        <f t="shared" si="21"/>
        <v>0.75700000000000001</v>
      </c>
      <c r="T46" s="44">
        <f t="shared" si="22"/>
        <v>0.78800000000000003</v>
      </c>
      <c r="U46" s="44">
        <f t="shared" si="23"/>
        <v>0.80900000000000005</v>
      </c>
      <c r="V46" s="450">
        <f t="shared" si="24"/>
        <v>0.80300000000000005</v>
      </c>
      <c r="Y46" s="61">
        <f t="shared" si="11"/>
        <v>485</v>
      </c>
      <c r="Z46" s="66">
        <f t="shared" si="25"/>
        <v>485</v>
      </c>
      <c r="AA46" s="77">
        <f t="shared" si="26"/>
        <v>439</v>
      </c>
      <c r="AB46" s="61">
        <f t="shared" si="27"/>
        <v>430</v>
      </c>
      <c r="AC46" s="43">
        <f t="shared" si="28"/>
        <v>464</v>
      </c>
      <c r="AD46" s="43">
        <f t="shared" si="29"/>
        <v>483</v>
      </c>
      <c r="AE46" s="43">
        <f t="shared" si="30"/>
        <v>496</v>
      </c>
      <c r="AF46" s="66">
        <f t="shared" si="31"/>
        <v>492</v>
      </c>
      <c r="AG46" s="5">
        <f t="shared" si="32"/>
        <v>0.90500000000000003</v>
      </c>
      <c r="AH46" s="73">
        <f t="shared" si="33"/>
        <v>0.88700000000000001</v>
      </c>
      <c r="AI46" s="44">
        <f t="shared" si="34"/>
        <v>0.95699999999999996</v>
      </c>
      <c r="AJ46" s="44">
        <f t="shared" si="35"/>
        <v>0.996</v>
      </c>
      <c r="AK46" s="44">
        <f t="shared" si="36"/>
        <v>1.0229999999999999</v>
      </c>
      <c r="AL46" s="45">
        <f t="shared" si="37"/>
        <v>1.014</v>
      </c>
    </row>
    <row r="47" spans="1:38" x14ac:dyDescent="0.35">
      <c r="A47" s="250">
        <v>32</v>
      </c>
      <c r="B47" s="118">
        <v>2061</v>
      </c>
      <c r="C47">
        <v>3</v>
      </c>
      <c r="D47">
        <v>4</v>
      </c>
      <c r="E47" s="132" t="s">
        <v>59</v>
      </c>
      <c r="F47" s="133" t="s">
        <v>19</v>
      </c>
      <c r="G47" s="218" t="s">
        <v>20</v>
      </c>
      <c r="H47" s="31">
        <v>1</v>
      </c>
      <c r="I47" s="42">
        <f t="shared" si="0"/>
        <v>834</v>
      </c>
      <c r="J47" s="66">
        <f t="shared" si="1"/>
        <v>834</v>
      </c>
      <c r="K47" s="77">
        <v>604</v>
      </c>
      <c r="L47" s="61">
        <f t="shared" si="39"/>
        <v>595</v>
      </c>
      <c r="M47" s="43">
        <f t="shared" si="40"/>
        <v>578</v>
      </c>
      <c r="N47" s="43">
        <f t="shared" si="41"/>
        <v>591</v>
      </c>
      <c r="O47" s="43">
        <f t="shared" si="42"/>
        <v>566</v>
      </c>
      <c r="P47" s="66">
        <f t="shared" si="43"/>
        <v>556</v>
      </c>
      <c r="Q47" s="5">
        <f t="shared" si="38"/>
        <v>0.72399999999999998</v>
      </c>
      <c r="R47" s="73">
        <f t="shared" si="20"/>
        <v>0.71299999999999997</v>
      </c>
      <c r="S47" s="44">
        <f t="shared" si="21"/>
        <v>0.69299999999999995</v>
      </c>
      <c r="T47" s="44">
        <f t="shared" si="22"/>
        <v>0.70899999999999996</v>
      </c>
      <c r="U47" s="44">
        <f t="shared" si="23"/>
        <v>0.67900000000000005</v>
      </c>
      <c r="V47" s="450">
        <f t="shared" si="24"/>
        <v>0.66700000000000004</v>
      </c>
      <c r="Y47" s="61">
        <f t="shared" si="11"/>
        <v>768</v>
      </c>
      <c r="Z47" s="66">
        <f t="shared" si="25"/>
        <v>768</v>
      </c>
      <c r="AA47" s="77">
        <f t="shared" si="26"/>
        <v>604</v>
      </c>
      <c r="AB47" s="61">
        <f t="shared" si="27"/>
        <v>595</v>
      </c>
      <c r="AC47" s="43">
        <f t="shared" si="28"/>
        <v>578</v>
      </c>
      <c r="AD47" s="43">
        <f t="shared" si="29"/>
        <v>591</v>
      </c>
      <c r="AE47" s="43">
        <f t="shared" si="30"/>
        <v>566</v>
      </c>
      <c r="AF47" s="66">
        <f t="shared" si="31"/>
        <v>556</v>
      </c>
      <c r="AG47" s="5">
        <f t="shared" si="32"/>
        <v>0.78600000000000003</v>
      </c>
      <c r="AH47" s="73">
        <f t="shared" si="33"/>
        <v>0.77500000000000002</v>
      </c>
      <c r="AI47" s="44">
        <f t="shared" si="34"/>
        <v>0.753</v>
      </c>
      <c r="AJ47" s="44">
        <f t="shared" si="35"/>
        <v>0.77</v>
      </c>
      <c r="AK47" s="44">
        <f t="shared" si="36"/>
        <v>0.73699999999999999</v>
      </c>
      <c r="AL47" s="45">
        <f t="shared" si="37"/>
        <v>0.72399999999999998</v>
      </c>
    </row>
    <row r="48" spans="1:38" x14ac:dyDescent="0.35">
      <c r="A48" s="250">
        <v>114</v>
      </c>
      <c r="B48" s="118">
        <v>3151</v>
      </c>
      <c r="C48">
        <v>4</v>
      </c>
      <c r="D48">
        <v>4</v>
      </c>
      <c r="E48" s="125" t="s">
        <v>60</v>
      </c>
      <c r="F48" s="126" t="s">
        <v>19</v>
      </c>
      <c r="G48" s="217" t="s">
        <v>630</v>
      </c>
      <c r="H48" s="34">
        <v>1</v>
      </c>
      <c r="I48" s="42">
        <f t="shared" si="0"/>
        <v>932</v>
      </c>
      <c r="J48" s="66">
        <f t="shared" si="1"/>
        <v>932</v>
      </c>
      <c r="K48" s="77">
        <v>673</v>
      </c>
      <c r="L48" s="128">
        <f t="shared" si="39"/>
        <v>650</v>
      </c>
      <c r="M48" s="503">
        <f t="shared" si="40"/>
        <v>651</v>
      </c>
      <c r="N48" s="503">
        <f t="shared" si="41"/>
        <v>614</v>
      </c>
      <c r="O48" s="503">
        <f t="shared" si="42"/>
        <v>606</v>
      </c>
      <c r="P48" s="504">
        <f t="shared" si="43"/>
        <v>585</v>
      </c>
      <c r="Q48" s="5">
        <f t="shared" si="38"/>
        <v>0.72199999999999998</v>
      </c>
      <c r="R48" s="73">
        <f t="shared" si="20"/>
        <v>0.69699999999999995</v>
      </c>
      <c r="S48" s="44">
        <f t="shared" si="21"/>
        <v>0.69799999999999995</v>
      </c>
      <c r="T48" s="44">
        <f t="shared" si="22"/>
        <v>0.65900000000000003</v>
      </c>
      <c r="U48" s="44">
        <f t="shared" si="23"/>
        <v>0.65</v>
      </c>
      <c r="V48" s="450">
        <f t="shared" si="24"/>
        <v>0.628</v>
      </c>
      <c r="Y48" s="61">
        <f t="shared" si="11"/>
        <v>932</v>
      </c>
      <c r="Z48" s="66">
        <f t="shared" si="25"/>
        <v>932</v>
      </c>
      <c r="AA48" s="77">
        <f t="shared" si="26"/>
        <v>673</v>
      </c>
      <c r="AB48" s="425">
        <f t="shared" si="27"/>
        <v>650</v>
      </c>
      <c r="AC48" s="43">
        <f t="shared" si="28"/>
        <v>651</v>
      </c>
      <c r="AD48" s="43">
        <f t="shared" si="29"/>
        <v>614</v>
      </c>
      <c r="AE48" s="43">
        <f t="shared" si="30"/>
        <v>606</v>
      </c>
      <c r="AF48" s="66">
        <f t="shared" si="31"/>
        <v>585</v>
      </c>
      <c r="AG48" s="5">
        <f t="shared" si="32"/>
        <v>0.72199999999999998</v>
      </c>
      <c r="AH48" s="73">
        <f t="shared" si="33"/>
        <v>0.69699999999999995</v>
      </c>
      <c r="AI48" s="44">
        <f t="shared" si="34"/>
        <v>0.69799999999999995</v>
      </c>
      <c r="AJ48" s="44">
        <f t="shared" si="35"/>
        <v>0.65900000000000003</v>
      </c>
      <c r="AK48" s="44">
        <f t="shared" si="36"/>
        <v>0.65</v>
      </c>
      <c r="AL48" s="45">
        <f t="shared" si="37"/>
        <v>0.628</v>
      </c>
    </row>
    <row r="49" spans="1:38" x14ac:dyDescent="0.35">
      <c r="A49" s="250">
        <v>41</v>
      </c>
      <c r="B49" s="118">
        <v>2171</v>
      </c>
      <c r="C49">
        <v>3</v>
      </c>
      <c r="D49">
        <v>4</v>
      </c>
      <c r="E49" s="132" t="s">
        <v>61</v>
      </c>
      <c r="F49" s="133" t="s">
        <v>19</v>
      </c>
      <c r="G49" s="218" t="s">
        <v>20</v>
      </c>
      <c r="H49" s="31">
        <v>1</v>
      </c>
      <c r="I49" s="42">
        <f t="shared" si="0"/>
        <v>733</v>
      </c>
      <c r="J49" s="66">
        <f t="shared" si="1"/>
        <v>733</v>
      </c>
      <c r="K49" s="77">
        <v>737</v>
      </c>
      <c r="L49" s="61">
        <f t="shared" si="39"/>
        <v>745</v>
      </c>
      <c r="M49" s="43">
        <f t="shared" si="40"/>
        <v>758</v>
      </c>
      <c r="N49" s="43">
        <f t="shared" si="41"/>
        <v>760</v>
      </c>
      <c r="O49" s="43">
        <f t="shared" si="42"/>
        <v>747</v>
      </c>
      <c r="P49" s="66">
        <f t="shared" si="43"/>
        <v>759</v>
      </c>
      <c r="Q49" s="5">
        <f t="shared" si="38"/>
        <v>1.0049999999999999</v>
      </c>
      <c r="R49" s="73">
        <f t="shared" si="20"/>
        <v>1.016</v>
      </c>
      <c r="S49" s="44">
        <f t="shared" si="21"/>
        <v>1.034</v>
      </c>
      <c r="T49" s="44">
        <f t="shared" si="22"/>
        <v>1.0369999999999999</v>
      </c>
      <c r="U49" s="44">
        <f t="shared" si="23"/>
        <v>1.0189999999999999</v>
      </c>
      <c r="V49" s="450">
        <f t="shared" si="24"/>
        <v>1.0349999999999999</v>
      </c>
      <c r="Y49" s="61">
        <f t="shared" si="11"/>
        <v>689</v>
      </c>
      <c r="Z49" s="66">
        <f t="shared" si="25"/>
        <v>689</v>
      </c>
      <c r="AA49" s="77">
        <f t="shared" si="26"/>
        <v>737</v>
      </c>
      <c r="AB49" s="61">
        <f t="shared" si="27"/>
        <v>745</v>
      </c>
      <c r="AC49" s="43">
        <f t="shared" si="28"/>
        <v>758</v>
      </c>
      <c r="AD49" s="43">
        <f t="shared" si="29"/>
        <v>760</v>
      </c>
      <c r="AE49" s="43">
        <f t="shared" si="30"/>
        <v>747</v>
      </c>
      <c r="AF49" s="66">
        <f t="shared" si="31"/>
        <v>759</v>
      </c>
      <c r="AG49" s="5">
        <f t="shared" si="32"/>
        <v>1.07</v>
      </c>
      <c r="AH49" s="73">
        <f t="shared" si="33"/>
        <v>1.081</v>
      </c>
      <c r="AI49" s="44">
        <f t="shared" si="34"/>
        <v>1.1000000000000001</v>
      </c>
      <c r="AJ49" s="44">
        <f t="shared" si="35"/>
        <v>1.103</v>
      </c>
      <c r="AK49" s="44">
        <f t="shared" si="36"/>
        <v>1.0840000000000001</v>
      </c>
      <c r="AL49" s="45">
        <f t="shared" si="37"/>
        <v>1.1020000000000001</v>
      </c>
    </row>
    <row r="50" spans="1:38" x14ac:dyDescent="0.35">
      <c r="A50" s="250">
        <v>63</v>
      </c>
      <c r="B50" s="118">
        <v>5012</v>
      </c>
      <c r="C50">
        <v>2</v>
      </c>
      <c r="D50">
        <v>4</v>
      </c>
      <c r="E50" s="125" t="s">
        <v>62</v>
      </c>
      <c r="F50" s="126" t="s">
        <v>19</v>
      </c>
      <c r="G50" s="217" t="s">
        <v>22</v>
      </c>
      <c r="H50" s="34">
        <v>1</v>
      </c>
      <c r="I50" s="42">
        <f t="shared" si="0"/>
        <v>599</v>
      </c>
      <c r="J50" s="66">
        <f t="shared" si="1"/>
        <v>599</v>
      </c>
      <c r="K50" s="77">
        <v>276</v>
      </c>
      <c r="L50" s="61">
        <f>VLOOKUP(B50,budgeting2025,11,FALSE)+262</f>
        <v>513</v>
      </c>
      <c r="M50" s="43">
        <f>VLOOKUP(B50,Combo2024,29,FALSE)+271</f>
        <v>511</v>
      </c>
      <c r="N50" s="43">
        <f>VLOOKUP(B50,Combo2024,30,FALSE)+262</f>
        <v>492</v>
      </c>
      <c r="O50" s="43">
        <f>VLOOKUP(B50,Combo2024,31,FALSE)+253</f>
        <v>482</v>
      </c>
      <c r="P50" s="66">
        <f>VLOOKUP(B50,Combo2024,32,FALSE)+254</f>
        <v>471</v>
      </c>
      <c r="Q50" s="5">
        <f t="shared" si="38"/>
        <v>0.46100000000000002</v>
      </c>
      <c r="R50" s="73">
        <f t="shared" si="20"/>
        <v>0.85599999999999998</v>
      </c>
      <c r="S50" s="44">
        <f t="shared" si="21"/>
        <v>0.85299999999999998</v>
      </c>
      <c r="T50" s="44">
        <f t="shared" si="22"/>
        <v>0.82099999999999995</v>
      </c>
      <c r="U50" s="44">
        <f t="shared" si="23"/>
        <v>0.80500000000000005</v>
      </c>
      <c r="V50" s="450">
        <f t="shared" si="24"/>
        <v>0.78600000000000003</v>
      </c>
      <c r="Y50" s="61">
        <f t="shared" si="11"/>
        <v>599</v>
      </c>
      <c r="Z50" s="66">
        <f t="shared" si="25"/>
        <v>599</v>
      </c>
      <c r="AA50" s="77">
        <f t="shared" si="26"/>
        <v>276</v>
      </c>
      <c r="AB50" s="61">
        <f t="shared" si="27"/>
        <v>513</v>
      </c>
      <c r="AC50" s="43">
        <f t="shared" si="28"/>
        <v>511</v>
      </c>
      <c r="AD50" s="43">
        <f t="shared" si="29"/>
        <v>492</v>
      </c>
      <c r="AE50" s="43">
        <f t="shared" si="30"/>
        <v>482</v>
      </c>
      <c r="AF50" s="66">
        <f t="shared" si="31"/>
        <v>471</v>
      </c>
      <c r="AG50" s="5">
        <f t="shared" si="32"/>
        <v>0.46100000000000002</v>
      </c>
      <c r="AH50" s="73">
        <f t="shared" si="33"/>
        <v>0.85599999999999998</v>
      </c>
      <c r="AI50" s="44">
        <f t="shared" si="34"/>
        <v>0.85299999999999998</v>
      </c>
      <c r="AJ50" s="44">
        <f t="shared" si="35"/>
        <v>0.82099999999999995</v>
      </c>
      <c r="AK50" s="44">
        <f t="shared" si="36"/>
        <v>0.80500000000000005</v>
      </c>
      <c r="AL50" s="45">
        <f t="shared" si="37"/>
        <v>0.78600000000000003</v>
      </c>
    </row>
    <row r="51" spans="1:38" x14ac:dyDescent="0.35">
      <c r="A51" s="250">
        <v>49</v>
      </c>
      <c r="B51" s="118">
        <v>3071</v>
      </c>
      <c r="C51">
        <v>4</v>
      </c>
      <c r="D51">
        <v>4</v>
      </c>
      <c r="E51" s="125" t="s">
        <v>63</v>
      </c>
      <c r="F51" s="126" t="s">
        <v>19</v>
      </c>
      <c r="G51" s="217" t="s">
        <v>20</v>
      </c>
      <c r="H51" s="34">
        <v>1</v>
      </c>
      <c r="I51" s="42">
        <f t="shared" si="0"/>
        <v>785</v>
      </c>
      <c r="J51" s="66">
        <f t="shared" si="1"/>
        <v>785</v>
      </c>
      <c r="K51" s="77">
        <v>464</v>
      </c>
      <c r="L51" s="61">
        <f t="shared" si="39"/>
        <v>432</v>
      </c>
      <c r="M51" s="43">
        <f t="shared" si="40"/>
        <v>428</v>
      </c>
      <c r="N51" s="43">
        <f t="shared" si="41"/>
        <v>406</v>
      </c>
      <c r="O51" s="43">
        <f t="shared" si="42"/>
        <v>377</v>
      </c>
      <c r="P51" s="66">
        <f t="shared" si="43"/>
        <v>359</v>
      </c>
      <c r="Q51" s="5">
        <f t="shared" si="38"/>
        <v>0.59099999999999997</v>
      </c>
      <c r="R51" s="73">
        <f t="shared" si="20"/>
        <v>0.55000000000000004</v>
      </c>
      <c r="S51" s="44">
        <f t="shared" si="21"/>
        <v>0.54500000000000004</v>
      </c>
      <c r="T51" s="44">
        <f t="shared" si="22"/>
        <v>0.51700000000000002</v>
      </c>
      <c r="U51" s="44">
        <f t="shared" si="23"/>
        <v>0.48</v>
      </c>
      <c r="V51" s="450">
        <f t="shared" si="24"/>
        <v>0.45700000000000002</v>
      </c>
      <c r="Y51" s="61">
        <f t="shared" si="11"/>
        <v>697</v>
      </c>
      <c r="Z51" s="66">
        <f t="shared" si="25"/>
        <v>697</v>
      </c>
      <c r="AA51" s="77">
        <f t="shared" si="26"/>
        <v>464</v>
      </c>
      <c r="AB51" s="61">
        <f t="shared" si="27"/>
        <v>432</v>
      </c>
      <c r="AC51" s="43">
        <f t="shared" si="28"/>
        <v>428</v>
      </c>
      <c r="AD51" s="43">
        <f t="shared" si="29"/>
        <v>406</v>
      </c>
      <c r="AE51" s="43">
        <f t="shared" si="30"/>
        <v>377</v>
      </c>
      <c r="AF51" s="66">
        <f t="shared" si="31"/>
        <v>359</v>
      </c>
      <c r="AG51" s="5">
        <f t="shared" si="32"/>
        <v>0.66600000000000004</v>
      </c>
      <c r="AH51" s="73">
        <f t="shared" si="33"/>
        <v>0.62</v>
      </c>
      <c r="AI51" s="44">
        <f t="shared" si="34"/>
        <v>0.61399999999999999</v>
      </c>
      <c r="AJ51" s="44">
        <f t="shared" si="35"/>
        <v>0.58199999999999996</v>
      </c>
      <c r="AK51" s="44">
        <f t="shared" si="36"/>
        <v>0.54100000000000004</v>
      </c>
      <c r="AL51" s="45">
        <f t="shared" si="37"/>
        <v>0.51500000000000001</v>
      </c>
    </row>
    <row r="52" spans="1:38" x14ac:dyDescent="0.35">
      <c r="A52" s="250">
        <v>26</v>
      </c>
      <c r="B52" s="118">
        <v>1131</v>
      </c>
      <c r="C52">
        <v>2</v>
      </c>
      <c r="D52">
        <v>4</v>
      </c>
      <c r="E52" s="125" t="s">
        <v>64</v>
      </c>
      <c r="F52" s="126" t="s">
        <v>19</v>
      </c>
      <c r="G52" s="217" t="s">
        <v>20</v>
      </c>
      <c r="H52" s="34">
        <v>1</v>
      </c>
      <c r="I52" s="42">
        <f t="shared" si="0"/>
        <v>998</v>
      </c>
      <c r="J52" s="66">
        <f t="shared" si="1"/>
        <v>998</v>
      </c>
      <c r="K52" s="77">
        <v>595</v>
      </c>
      <c r="L52" s="432">
        <f t="shared" si="39"/>
        <v>607</v>
      </c>
      <c r="M52" s="43">
        <f t="shared" si="40"/>
        <v>603</v>
      </c>
      <c r="N52" s="43">
        <f t="shared" si="41"/>
        <v>596</v>
      </c>
      <c r="O52" s="43">
        <f t="shared" si="42"/>
        <v>602</v>
      </c>
      <c r="P52" s="66">
        <f t="shared" si="43"/>
        <v>595</v>
      </c>
      <c r="Q52" s="5">
        <f t="shared" si="38"/>
        <v>0.59599999999999997</v>
      </c>
      <c r="R52" s="73">
        <f t="shared" si="20"/>
        <v>0.60799999999999998</v>
      </c>
      <c r="S52" s="44">
        <f t="shared" si="21"/>
        <v>0.60399999999999998</v>
      </c>
      <c r="T52" s="44">
        <f t="shared" si="22"/>
        <v>0.59699999999999998</v>
      </c>
      <c r="U52" s="44">
        <f t="shared" si="23"/>
        <v>0.60299999999999998</v>
      </c>
      <c r="V52" s="450">
        <f t="shared" si="24"/>
        <v>0.59599999999999997</v>
      </c>
      <c r="Y52" s="61">
        <f t="shared" si="11"/>
        <v>848</v>
      </c>
      <c r="Z52" s="66">
        <f t="shared" si="25"/>
        <v>848</v>
      </c>
      <c r="AA52" s="77">
        <f t="shared" si="26"/>
        <v>595</v>
      </c>
      <c r="AB52" s="61">
        <f t="shared" si="27"/>
        <v>607</v>
      </c>
      <c r="AC52" s="43">
        <f t="shared" si="28"/>
        <v>603</v>
      </c>
      <c r="AD52" s="43">
        <f t="shared" si="29"/>
        <v>596</v>
      </c>
      <c r="AE52" s="43">
        <f t="shared" si="30"/>
        <v>602</v>
      </c>
      <c r="AF52" s="66">
        <f t="shared" si="31"/>
        <v>595</v>
      </c>
      <c r="AG52" s="5">
        <f t="shared" si="32"/>
        <v>0.70199999999999996</v>
      </c>
      <c r="AH52" s="73">
        <f t="shared" si="33"/>
        <v>0.71599999999999997</v>
      </c>
      <c r="AI52" s="44">
        <f t="shared" si="34"/>
        <v>0.71099999999999997</v>
      </c>
      <c r="AJ52" s="44">
        <f t="shared" si="35"/>
        <v>0.70299999999999996</v>
      </c>
      <c r="AK52" s="44">
        <f t="shared" si="36"/>
        <v>0.71</v>
      </c>
      <c r="AL52" s="45">
        <f t="shared" si="37"/>
        <v>0.70199999999999996</v>
      </c>
    </row>
    <row r="53" spans="1:38" x14ac:dyDescent="0.35">
      <c r="A53" s="250">
        <v>69</v>
      </c>
      <c r="B53" s="118">
        <v>6051</v>
      </c>
      <c r="C53">
        <v>2</v>
      </c>
      <c r="D53">
        <v>4</v>
      </c>
      <c r="E53" s="125" t="s">
        <v>65</v>
      </c>
      <c r="F53" s="126" t="s">
        <v>19</v>
      </c>
      <c r="G53" s="217" t="s">
        <v>20</v>
      </c>
      <c r="H53" s="34">
        <v>1</v>
      </c>
      <c r="I53" s="131">
        <f t="shared" si="0"/>
        <v>461</v>
      </c>
      <c r="J53" s="66">
        <f t="shared" si="1"/>
        <v>461</v>
      </c>
      <c r="K53" s="77">
        <v>309</v>
      </c>
      <c r="L53" s="61">
        <f t="shared" si="39"/>
        <v>307</v>
      </c>
      <c r="M53" s="43">
        <f t="shared" si="40"/>
        <v>304</v>
      </c>
      <c r="N53" s="43">
        <f t="shared" si="41"/>
        <v>298</v>
      </c>
      <c r="O53" s="43">
        <f t="shared" si="42"/>
        <v>293</v>
      </c>
      <c r="P53" s="66">
        <f t="shared" si="43"/>
        <v>276</v>
      </c>
      <c r="Q53" s="5">
        <f t="shared" si="38"/>
        <v>0.67</v>
      </c>
      <c r="R53" s="73">
        <f t="shared" si="20"/>
        <v>0.66600000000000004</v>
      </c>
      <c r="S53" s="44">
        <f t="shared" si="21"/>
        <v>0.65900000000000003</v>
      </c>
      <c r="T53" s="44">
        <f t="shared" si="22"/>
        <v>0.64600000000000002</v>
      </c>
      <c r="U53" s="44">
        <f t="shared" si="23"/>
        <v>0.63600000000000001</v>
      </c>
      <c r="V53" s="450">
        <f t="shared" si="24"/>
        <v>0.59899999999999998</v>
      </c>
      <c r="Y53" s="439">
        <f t="shared" si="11"/>
        <v>461</v>
      </c>
      <c r="Z53" s="66">
        <f t="shared" si="25"/>
        <v>461</v>
      </c>
      <c r="AA53" s="77">
        <f t="shared" si="26"/>
        <v>309</v>
      </c>
      <c r="AB53" s="61">
        <f t="shared" si="27"/>
        <v>307</v>
      </c>
      <c r="AC53" s="43">
        <f t="shared" si="28"/>
        <v>304</v>
      </c>
      <c r="AD53" s="43">
        <f t="shared" si="29"/>
        <v>298</v>
      </c>
      <c r="AE53" s="43">
        <f t="shared" si="30"/>
        <v>293</v>
      </c>
      <c r="AF53" s="66">
        <f t="shared" si="31"/>
        <v>276</v>
      </c>
      <c r="AG53" s="5">
        <f t="shared" si="32"/>
        <v>0.67</v>
      </c>
      <c r="AH53" s="73">
        <f t="shared" si="33"/>
        <v>0.66600000000000004</v>
      </c>
      <c r="AI53" s="44">
        <f t="shared" si="34"/>
        <v>0.65900000000000003</v>
      </c>
      <c r="AJ53" s="44">
        <f t="shared" si="35"/>
        <v>0.64600000000000002</v>
      </c>
      <c r="AK53" s="44">
        <f t="shared" si="36"/>
        <v>0.63600000000000001</v>
      </c>
      <c r="AL53" s="45">
        <f t="shared" si="37"/>
        <v>0.59899999999999998</v>
      </c>
    </row>
    <row r="54" spans="1:38" x14ac:dyDescent="0.35">
      <c r="A54" s="250">
        <v>46</v>
      </c>
      <c r="B54" s="118">
        <v>3041</v>
      </c>
      <c r="C54">
        <v>4</v>
      </c>
      <c r="D54">
        <v>4</v>
      </c>
      <c r="E54" s="125" t="s">
        <v>66</v>
      </c>
      <c r="F54" s="138" t="s">
        <v>19</v>
      </c>
      <c r="G54" s="220" t="s">
        <v>20</v>
      </c>
      <c r="H54" s="34">
        <v>1</v>
      </c>
      <c r="I54" s="42">
        <f t="shared" si="0"/>
        <v>609</v>
      </c>
      <c r="J54" s="66">
        <f t="shared" si="1"/>
        <v>609</v>
      </c>
      <c r="K54" s="77">
        <v>525</v>
      </c>
      <c r="L54" s="61">
        <f t="shared" si="39"/>
        <v>515</v>
      </c>
      <c r="M54" s="43">
        <f t="shared" si="40"/>
        <v>507</v>
      </c>
      <c r="N54" s="43">
        <f t="shared" si="41"/>
        <v>493</v>
      </c>
      <c r="O54" s="43">
        <f t="shared" si="42"/>
        <v>501</v>
      </c>
      <c r="P54" s="66">
        <f t="shared" si="43"/>
        <v>490</v>
      </c>
      <c r="Q54" s="5">
        <f t="shared" si="38"/>
        <v>0.86199999999999999</v>
      </c>
      <c r="R54" s="73">
        <f t="shared" si="20"/>
        <v>0.84599999999999997</v>
      </c>
      <c r="S54" s="44">
        <f t="shared" si="21"/>
        <v>0.83299999999999996</v>
      </c>
      <c r="T54" s="44">
        <f t="shared" si="22"/>
        <v>0.81</v>
      </c>
      <c r="U54" s="44">
        <f t="shared" si="23"/>
        <v>0.82299999999999995</v>
      </c>
      <c r="V54" s="450">
        <f t="shared" si="24"/>
        <v>0.80500000000000005</v>
      </c>
      <c r="Y54" s="61">
        <f t="shared" si="11"/>
        <v>609</v>
      </c>
      <c r="Z54" s="66">
        <f t="shared" si="25"/>
        <v>609</v>
      </c>
      <c r="AA54" s="77">
        <f t="shared" si="26"/>
        <v>525</v>
      </c>
      <c r="AB54" s="61">
        <f t="shared" si="27"/>
        <v>515</v>
      </c>
      <c r="AC54" s="43">
        <f t="shared" si="28"/>
        <v>507</v>
      </c>
      <c r="AD54" s="43">
        <f t="shared" si="29"/>
        <v>493</v>
      </c>
      <c r="AE54" s="43">
        <f t="shared" si="30"/>
        <v>501</v>
      </c>
      <c r="AF54" s="66">
        <f t="shared" si="31"/>
        <v>490</v>
      </c>
      <c r="AG54" s="5">
        <f t="shared" si="32"/>
        <v>0.86199999999999999</v>
      </c>
      <c r="AH54" s="73">
        <f t="shared" si="33"/>
        <v>0.84599999999999997</v>
      </c>
      <c r="AI54" s="44">
        <f t="shared" si="34"/>
        <v>0.83299999999999996</v>
      </c>
      <c r="AJ54" s="44">
        <f t="shared" si="35"/>
        <v>0.81</v>
      </c>
      <c r="AK54" s="44">
        <f t="shared" si="36"/>
        <v>0.82299999999999995</v>
      </c>
      <c r="AL54" s="45">
        <f t="shared" si="37"/>
        <v>0.80500000000000005</v>
      </c>
    </row>
    <row r="55" spans="1:38" s="135" customFormat="1" x14ac:dyDescent="0.35">
      <c r="A55" s="250">
        <v>9</v>
      </c>
      <c r="B55" s="118">
        <v>122</v>
      </c>
      <c r="C55">
        <v>1</v>
      </c>
      <c r="D55">
        <v>4</v>
      </c>
      <c r="E55" s="125" t="s">
        <v>388</v>
      </c>
      <c r="F55" s="126" t="s">
        <v>19</v>
      </c>
      <c r="G55" s="217" t="s">
        <v>22</v>
      </c>
      <c r="H55" s="34">
        <v>1</v>
      </c>
      <c r="I55" s="42">
        <f t="shared" si="0"/>
        <v>639</v>
      </c>
      <c r="J55" s="66">
        <f t="shared" si="1"/>
        <v>639</v>
      </c>
      <c r="K55" s="77">
        <v>484</v>
      </c>
      <c r="L55" s="61">
        <f t="shared" si="39"/>
        <v>506</v>
      </c>
      <c r="M55" s="43">
        <f t="shared" si="40"/>
        <v>506</v>
      </c>
      <c r="N55" s="43">
        <f t="shared" si="41"/>
        <v>506</v>
      </c>
      <c r="O55" s="43">
        <f t="shared" si="42"/>
        <v>506</v>
      </c>
      <c r="P55" s="66">
        <f t="shared" si="43"/>
        <v>506</v>
      </c>
      <c r="Q55" s="5">
        <f t="shared" si="38"/>
        <v>0.75700000000000001</v>
      </c>
      <c r="R55" s="73">
        <f t="shared" si="20"/>
        <v>0.79200000000000004</v>
      </c>
      <c r="S55" s="44">
        <f t="shared" si="21"/>
        <v>0.79200000000000004</v>
      </c>
      <c r="T55" s="44">
        <f t="shared" si="22"/>
        <v>0.79200000000000004</v>
      </c>
      <c r="U55" s="44">
        <f t="shared" si="23"/>
        <v>0.79200000000000004</v>
      </c>
      <c r="V55" s="450">
        <f t="shared" si="24"/>
        <v>0.79200000000000004</v>
      </c>
      <c r="W55"/>
      <c r="X55"/>
      <c r="Y55" s="61">
        <f t="shared" si="11"/>
        <v>639</v>
      </c>
      <c r="Z55" s="66">
        <f t="shared" si="25"/>
        <v>639</v>
      </c>
      <c r="AA55" s="77">
        <f t="shared" si="26"/>
        <v>484</v>
      </c>
      <c r="AB55" s="61">
        <f t="shared" si="27"/>
        <v>506</v>
      </c>
      <c r="AC55" s="43">
        <f t="shared" si="28"/>
        <v>506</v>
      </c>
      <c r="AD55" s="43">
        <f t="shared" si="29"/>
        <v>506</v>
      </c>
      <c r="AE55" s="43">
        <f t="shared" si="30"/>
        <v>506</v>
      </c>
      <c r="AF55" s="66">
        <f t="shared" si="31"/>
        <v>506</v>
      </c>
      <c r="AG55" s="5">
        <f t="shared" si="32"/>
        <v>0.75700000000000001</v>
      </c>
      <c r="AH55" s="73">
        <f t="shared" si="33"/>
        <v>0.79200000000000004</v>
      </c>
      <c r="AI55" s="44">
        <f t="shared" si="34"/>
        <v>0.79200000000000004</v>
      </c>
      <c r="AJ55" s="44">
        <f t="shared" si="35"/>
        <v>0.79200000000000004</v>
      </c>
      <c r="AK55" s="44">
        <f t="shared" si="36"/>
        <v>0.79200000000000004</v>
      </c>
      <c r="AL55" s="45">
        <f t="shared" si="37"/>
        <v>0.79200000000000004</v>
      </c>
    </row>
    <row r="56" spans="1:38" s="135" customFormat="1" hidden="1" x14ac:dyDescent="0.35">
      <c r="A56" s="253">
        <v>50</v>
      </c>
      <c r="B56" s="134">
        <v>3081</v>
      </c>
      <c r="D56" s="135">
        <v>100</v>
      </c>
      <c r="E56" s="141" t="s">
        <v>139</v>
      </c>
      <c r="F56" s="142" t="s">
        <v>140</v>
      </c>
      <c r="G56" s="222" t="s">
        <v>141</v>
      </c>
      <c r="H56" s="39">
        <v>1</v>
      </c>
      <c r="I56" s="140">
        <f t="shared" si="0"/>
        <v>117</v>
      </c>
      <c r="J56" s="67">
        <f t="shared" si="1"/>
        <v>117</v>
      </c>
      <c r="K56" s="78"/>
      <c r="L56" s="62"/>
      <c r="M56" s="47"/>
      <c r="N56" s="47"/>
      <c r="O56" s="47"/>
      <c r="P56" s="67"/>
      <c r="Q56" s="41"/>
      <c r="R56" s="74"/>
      <c r="S56" s="48"/>
      <c r="T56" s="48"/>
      <c r="U56" s="48"/>
      <c r="V56" s="451"/>
      <c r="W56"/>
      <c r="X56"/>
      <c r="Y56" s="440">
        <f t="shared" si="11"/>
        <v>92</v>
      </c>
      <c r="Z56" s="67">
        <f t="shared" si="25"/>
        <v>92</v>
      </c>
      <c r="AA56" s="78">
        <f t="shared" si="26"/>
        <v>0</v>
      </c>
      <c r="AB56" s="62">
        <f t="shared" si="27"/>
        <v>0</v>
      </c>
      <c r="AC56" s="47">
        <f t="shared" si="28"/>
        <v>0</v>
      </c>
      <c r="AD56" s="47">
        <f t="shared" si="29"/>
        <v>0</v>
      </c>
      <c r="AE56" s="47">
        <f t="shared" si="30"/>
        <v>0</v>
      </c>
      <c r="AF56" s="67">
        <f t="shared" si="31"/>
        <v>0</v>
      </c>
      <c r="AG56" s="41">
        <f t="shared" si="32"/>
        <v>0</v>
      </c>
      <c r="AH56" s="74">
        <f t="shared" si="33"/>
        <v>0</v>
      </c>
      <c r="AI56" s="48">
        <f t="shared" si="34"/>
        <v>0</v>
      </c>
      <c r="AJ56" s="48">
        <f t="shared" si="35"/>
        <v>0</v>
      </c>
      <c r="AK56" s="48">
        <f t="shared" si="36"/>
        <v>0</v>
      </c>
      <c r="AL56" s="49">
        <f t="shared" si="37"/>
        <v>0</v>
      </c>
    </row>
    <row r="57" spans="1:38" x14ac:dyDescent="0.35">
      <c r="A57" s="251">
        <v>87</v>
      </c>
      <c r="B57" s="118">
        <v>4071</v>
      </c>
      <c r="C57">
        <v>2</v>
      </c>
      <c r="D57">
        <v>4</v>
      </c>
      <c r="E57" s="125" t="s">
        <v>67</v>
      </c>
      <c r="F57" s="126" t="s">
        <v>19</v>
      </c>
      <c r="G57" s="217" t="s">
        <v>22</v>
      </c>
      <c r="H57" s="34">
        <v>1</v>
      </c>
      <c r="I57" s="42">
        <f t="shared" si="0"/>
        <v>569</v>
      </c>
      <c r="J57" s="66">
        <f t="shared" si="1"/>
        <v>569</v>
      </c>
      <c r="K57" s="77">
        <v>480</v>
      </c>
      <c r="L57" s="61">
        <f t="shared" si="39"/>
        <v>480</v>
      </c>
      <c r="M57" s="43">
        <f t="shared" si="40"/>
        <v>480</v>
      </c>
      <c r="N57" s="43">
        <f t="shared" si="41"/>
        <v>480</v>
      </c>
      <c r="O57" s="43">
        <f t="shared" si="42"/>
        <v>480</v>
      </c>
      <c r="P57" s="66">
        <f t="shared" si="43"/>
        <v>480</v>
      </c>
      <c r="Q57" s="5">
        <f t="shared" si="38"/>
        <v>0.84399999999999997</v>
      </c>
      <c r="R57" s="73">
        <f t="shared" si="20"/>
        <v>0.84399999999999997</v>
      </c>
      <c r="S57" s="44">
        <f t="shared" si="21"/>
        <v>0.84399999999999997</v>
      </c>
      <c r="T57" s="44">
        <f t="shared" si="22"/>
        <v>0.84399999999999997</v>
      </c>
      <c r="U57" s="44">
        <f t="shared" si="23"/>
        <v>0.84399999999999997</v>
      </c>
      <c r="V57" s="450">
        <f t="shared" si="24"/>
        <v>0.84399999999999997</v>
      </c>
      <c r="Y57" s="61">
        <f t="shared" si="11"/>
        <v>569</v>
      </c>
      <c r="Z57" s="66">
        <f t="shared" si="25"/>
        <v>569</v>
      </c>
      <c r="AA57" s="77">
        <f t="shared" si="26"/>
        <v>480</v>
      </c>
      <c r="AB57" s="61">
        <f t="shared" si="27"/>
        <v>480</v>
      </c>
      <c r="AC57" s="43">
        <f t="shared" si="28"/>
        <v>480</v>
      </c>
      <c r="AD57" s="43">
        <f t="shared" si="29"/>
        <v>480</v>
      </c>
      <c r="AE57" s="43">
        <f t="shared" si="30"/>
        <v>480</v>
      </c>
      <c r="AF57" s="66">
        <f t="shared" si="31"/>
        <v>480</v>
      </c>
      <c r="AG57" s="5">
        <f t="shared" si="32"/>
        <v>0.84399999999999997</v>
      </c>
      <c r="AH57" s="73">
        <f t="shared" si="33"/>
        <v>0.84399999999999997</v>
      </c>
      <c r="AI57" s="44">
        <f t="shared" si="34"/>
        <v>0.84399999999999997</v>
      </c>
      <c r="AJ57" s="44">
        <f t="shared" si="35"/>
        <v>0.84399999999999997</v>
      </c>
      <c r="AK57" s="44">
        <f t="shared" si="36"/>
        <v>0.84399999999999997</v>
      </c>
      <c r="AL57" s="45">
        <f t="shared" si="37"/>
        <v>0.84399999999999997</v>
      </c>
    </row>
    <row r="58" spans="1:38" x14ac:dyDescent="0.35">
      <c r="A58" s="251">
        <v>116</v>
      </c>
      <c r="B58" s="118">
        <v>2221</v>
      </c>
      <c r="C58">
        <v>3</v>
      </c>
      <c r="D58">
        <v>4</v>
      </c>
      <c r="E58" s="132" t="s">
        <v>68</v>
      </c>
      <c r="F58" s="133" t="s">
        <v>19</v>
      </c>
      <c r="G58" s="218" t="s">
        <v>20</v>
      </c>
      <c r="H58" s="31">
        <v>1</v>
      </c>
      <c r="I58" s="42">
        <f t="shared" si="0"/>
        <v>957</v>
      </c>
      <c r="J58" s="66">
        <f t="shared" si="1"/>
        <v>957</v>
      </c>
      <c r="K58" s="77">
        <v>927</v>
      </c>
      <c r="L58" s="61">
        <f t="shared" si="39"/>
        <v>947</v>
      </c>
      <c r="M58" s="43">
        <f t="shared" si="40"/>
        <v>1026</v>
      </c>
      <c r="N58" s="43">
        <f t="shared" si="41"/>
        <v>1125</v>
      </c>
      <c r="O58" s="43">
        <f t="shared" si="42"/>
        <v>1264</v>
      </c>
      <c r="P58" s="66">
        <f t="shared" si="43"/>
        <v>1342</v>
      </c>
      <c r="Q58" s="5">
        <f t="shared" si="38"/>
        <v>0.96899999999999997</v>
      </c>
      <c r="R58" s="73">
        <f t="shared" si="20"/>
        <v>0.99</v>
      </c>
      <c r="S58" s="44">
        <f t="shared" si="21"/>
        <v>1.0720000000000001</v>
      </c>
      <c r="T58" s="44">
        <f t="shared" si="22"/>
        <v>1.1759999999999999</v>
      </c>
      <c r="U58" s="44">
        <f t="shared" si="23"/>
        <v>1.321</v>
      </c>
      <c r="V58" s="450">
        <f t="shared" si="24"/>
        <v>1.4019999999999999</v>
      </c>
      <c r="Y58" s="61">
        <f t="shared" si="11"/>
        <v>895</v>
      </c>
      <c r="Z58" s="66">
        <f t="shared" si="25"/>
        <v>895</v>
      </c>
      <c r="AA58" s="77">
        <f t="shared" si="26"/>
        <v>927</v>
      </c>
      <c r="AB58" s="61">
        <f t="shared" si="27"/>
        <v>947</v>
      </c>
      <c r="AC58" s="43">
        <f t="shared" si="28"/>
        <v>1026</v>
      </c>
      <c r="AD58" s="43">
        <f t="shared" si="29"/>
        <v>1125</v>
      </c>
      <c r="AE58" s="43">
        <f t="shared" si="30"/>
        <v>1264</v>
      </c>
      <c r="AF58" s="66">
        <f t="shared" si="31"/>
        <v>1342</v>
      </c>
      <c r="AG58" s="5">
        <f t="shared" si="32"/>
        <v>1.036</v>
      </c>
      <c r="AH58" s="73">
        <f t="shared" si="33"/>
        <v>1.0580000000000001</v>
      </c>
      <c r="AI58" s="44">
        <f t="shared" si="34"/>
        <v>1.1459999999999999</v>
      </c>
      <c r="AJ58" s="44">
        <f t="shared" si="35"/>
        <v>1.2569999999999999</v>
      </c>
      <c r="AK58" s="44">
        <f t="shared" si="36"/>
        <v>1.4119999999999999</v>
      </c>
      <c r="AL58" s="45">
        <f t="shared" si="37"/>
        <v>1.4990000000000001</v>
      </c>
    </row>
    <row r="59" spans="1:38" x14ac:dyDescent="0.35">
      <c r="A59" s="250">
        <v>53</v>
      </c>
      <c r="B59" s="118">
        <v>3121</v>
      </c>
      <c r="C59">
        <v>4</v>
      </c>
      <c r="D59">
        <v>4</v>
      </c>
      <c r="E59" s="125" t="s">
        <v>69</v>
      </c>
      <c r="F59" s="126" t="s">
        <v>19</v>
      </c>
      <c r="G59" s="217" t="s">
        <v>20</v>
      </c>
      <c r="H59" s="34">
        <v>1</v>
      </c>
      <c r="I59" s="42">
        <f t="shared" si="0"/>
        <v>755</v>
      </c>
      <c r="J59" s="66">
        <f t="shared" si="1"/>
        <v>755</v>
      </c>
      <c r="K59" s="77">
        <v>523</v>
      </c>
      <c r="L59" s="61">
        <f t="shared" si="39"/>
        <v>504</v>
      </c>
      <c r="M59" s="43">
        <f t="shared" si="40"/>
        <v>469</v>
      </c>
      <c r="N59" s="43">
        <f t="shared" si="41"/>
        <v>444</v>
      </c>
      <c r="O59" s="43">
        <f t="shared" si="42"/>
        <v>431</v>
      </c>
      <c r="P59" s="66">
        <f t="shared" si="43"/>
        <v>395</v>
      </c>
      <c r="Q59" s="5">
        <f t="shared" si="38"/>
        <v>0.69299999999999995</v>
      </c>
      <c r="R59" s="73">
        <f t="shared" si="20"/>
        <v>0.66800000000000004</v>
      </c>
      <c r="S59" s="44">
        <f t="shared" si="21"/>
        <v>0.621</v>
      </c>
      <c r="T59" s="44">
        <f t="shared" si="22"/>
        <v>0.58799999999999997</v>
      </c>
      <c r="U59" s="44">
        <f t="shared" si="23"/>
        <v>0.57099999999999995</v>
      </c>
      <c r="V59" s="450">
        <f t="shared" si="24"/>
        <v>0.52300000000000002</v>
      </c>
      <c r="Y59" s="61">
        <f t="shared" si="11"/>
        <v>689</v>
      </c>
      <c r="Z59" s="66">
        <f t="shared" si="25"/>
        <v>689</v>
      </c>
      <c r="AA59" s="77">
        <f t="shared" si="26"/>
        <v>523</v>
      </c>
      <c r="AB59" s="61">
        <f t="shared" si="27"/>
        <v>504</v>
      </c>
      <c r="AC59" s="43">
        <f t="shared" si="28"/>
        <v>469</v>
      </c>
      <c r="AD59" s="43">
        <f t="shared" si="29"/>
        <v>444</v>
      </c>
      <c r="AE59" s="43">
        <f t="shared" si="30"/>
        <v>431</v>
      </c>
      <c r="AF59" s="66">
        <f t="shared" si="31"/>
        <v>395</v>
      </c>
      <c r="AG59" s="5">
        <f t="shared" si="32"/>
        <v>0.75900000000000001</v>
      </c>
      <c r="AH59" s="73">
        <f t="shared" si="33"/>
        <v>0.73099999999999998</v>
      </c>
      <c r="AI59" s="44">
        <f t="shared" si="34"/>
        <v>0.68100000000000005</v>
      </c>
      <c r="AJ59" s="44">
        <f t="shared" si="35"/>
        <v>0.64400000000000002</v>
      </c>
      <c r="AK59" s="44">
        <f t="shared" si="36"/>
        <v>0.626</v>
      </c>
      <c r="AL59" s="45">
        <f t="shared" si="37"/>
        <v>0.57299999999999995</v>
      </c>
    </row>
    <row r="60" spans="1:38" x14ac:dyDescent="0.35">
      <c r="A60" s="250">
        <v>70</v>
      </c>
      <c r="B60" s="118">
        <v>6061</v>
      </c>
      <c r="C60">
        <v>3</v>
      </c>
      <c r="D60">
        <v>4</v>
      </c>
      <c r="E60" s="125" t="s">
        <v>70</v>
      </c>
      <c r="F60" s="126" t="s">
        <v>19</v>
      </c>
      <c r="G60" s="217" t="s">
        <v>22</v>
      </c>
      <c r="H60" s="34">
        <v>1</v>
      </c>
      <c r="I60" s="42">
        <f t="shared" si="0"/>
        <v>541</v>
      </c>
      <c r="J60" s="66">
        <f t="shared" si="1"/>
        <v>541</v>
      </c>
      <c r="K60" s="77">
        <v>406</v>
      </c>
      <c r="L60" s="61">
        <f t="shared" si="39"/>
        <v>406</v>
      </c>
      <c r="M60" s="43">
        <f t="shared" si="40"/>
        <v>386</v>
      </c>
      <c r="N60" s="43">
        <f t="shared" si="41"/>
        <v>383</v>
      </c>
      <c r="O60" s="43">
        <f t="shared" si="42"/>
        <v>377</v>
      </c>
      <c r="P60" s="66">
        <f t="shared" si="43"/>
        <v>374</v>
      </c>
      <c r="Q60" s="5">
        <f t="shared" si="38"/>
        <v>0.75</v>
      </c>
      <c r="R60" s="73">
        <f t="shared" si="20"/>
        <v>0.75</v>
      </c>
      <c r="S60" s="44">
        <f t="shared" si="21"/>
        <v>0.71299999999999997</v>
      </c>
      <c r="T60" s="44">
        <f t="shared" si="22"/>
        <v>0.70799999999999996</v>
      </c>
      <c r="U60" s="44">
        <f t="shared" si="23"/>
        <v>0.69699999999999995</v>
      </c>
      <c r="V60" s="450">
        <f t="shared" si="24"/>
        <v>0.69099999999999995</v>
      </c>
      <c r="Y60" s="61">
        <f t="shared" si="11"/>
        <v>421</v>
      </c>
      <c r="Z60" s="66">
        <f t="shared" si="25"/>
        <v>421</v>
      </c>
      <c r="AA60" s="77">
        <f t="shared" si="26"/>
        <v>406</v>
      </c>
      <c r="AB60" s="61">
        <f t="shared" si="27"/>
        <v>406</v>
      </c>
      <c r="AC60" s="43">
        <f t="shared" si="28"/>
        <v>386</v>
      </c>
      <c r="AD60" s="43">
        <f t="shared" si="29"/>
        <v>383</v>
      </c>
      <c r="AE60" s="43">
        <f t="shared" si="30"/>
        <v>377</v>
      </c>
      <c r="AF60" s="66">
        <f t="shared" si="31"/>
        <v>374</v>
      </c>
      <c r="AG60" s="5">
        <f t="shared" si="32"/>
        <v>0.96399999999999997</v>
      </c>
      <c r="AH60" s="73">
        <f t="shared" si="33"/>
        <v>0.96399999999999997</v>
      </c>
      <c r="AI60" s="44">
        <f t="shared" si="34"/>
        <v>0.91700000000000004</v>
      </c>
      <c r="AJ60" s="44">
        <f t="shared" si="35"/>
        <v>0.91</v>
      </c>
      <c r="AK60" s="44">
        <f t="shared" si="36"/>
        <v>0.89500000000000002</v>
      </c>
      <c r="AL60" s="45">
        <f t="shared" si="37"/>
        <v>0.88800000000000001</v>
      </c>
    </row>
    <row r="61" spans="1:38" x14ac:dyDescent="0.35">
      <c r="A61" s="250">
        <v>57</v>
      </c>
      <c r="B61" s="118">
        <v>4041</v>
      </c>
      <c r="C61">
        <v>2</v>
      </c>
      <c r="D61">
        <v>4</v>
      </c>
      <c r="E61" s="125" t="s">
        <v>71</v>
      </c>
      <c r="F61" s="126" t="s">
        <v>19</v>
      </c>
      <c r="G61" s="217" t="s">
        <v>22</v>
      </c>
      <c r="H61" s="34">
        <v>1</v>
      </c>
      <c r="I61" s="42">
        <f t="shared" si="0"/>
        <v>910</v>
      </c>
      <c r="J61" s="66">
        <f t="shared" si="1"/>
        <v>910</v>
      </c>
      <c r="K61" s="77">
        <v>493</v>
      </c>
      <c r="L61" s="61">
        <f t="shared" si="39"/>
        <v>461</v>
      </c>
      <c r="M61" s="43">
        <f t="shared" si="40"/>
        <v>433</v>
      </c>
      <c r="N61" s="43">
        <f t="shared" si="41"/>
        <v>377</v>
      </c>
      <c r="O61" s="43">
        <f t="shared" si="42"/>
        <v>366</v>
      </c>
      <c r="P61" s="66">
        <f t="shared" si="43"/>
        <v>343</v>
      </c>
      <c r="Q61" s="5">
        <f t="shared" si="38"/>
        <v>0.54200000000000004</v>
      </c>
      <c r="R61" s="73">
        <f t="shared" si="20"/>
        <v>0.50700000000000001</v>
      </c>
      <c r="S61" s="44">
        <f t="shared" si="21"/>
        <v>0.47599999999999998</v>
      </c>
      <c r="T61" s="44">
        <f t="shared" si="22"/>
        <v>0.41399999999999998</v>
      </c>
      <c r="U61" s="44">
        <f t="shared" si="23"/>
        <v>0.40200000000000002</v>
      </c>
      <c r="V61" s="450">
        <f t="shared" si="24"/>
        <v>0.377</v>
      </c>
      <c r="Y61" s="61">
        <f t="shared" si="11"/>
        <v>910</v>
      </c>
      <c r="Z61" s="66">
        <f t="shared" si="25"/>
        <v>910</v>
      </c>
      <c r="AA61" s="77">
        <f t="shared" si="26"/>
        <v>493</v>
      </c>
      <c r="AB61" s="61">
        <f t="shared" si="27"/>
        <v>461</v>
      </c>
      <c r="AC61" s="43">
        <f t="shared" si="28"/>
        <v>433</v>
      </c>
      <c r="AD61" s="43">
        <f t="shared" si="29"/>
        <v>377</v>
      </c>
      <c r="AE61" s="43">
        <f t="shared" si="30"/>
        <v>366</v>
      </c>
      <c r="AF61" s="66">
        <f t="shared" si="31"/>
        <v>343</v>
      </c>
      <c r="AG61" s="5">
        <f t="shared" si="32"/>
        <v>0.54200000000000004</v>
      </c>
      <c r="AH61" s="73">
        <f t="shared" si="33"/>
        <v>0.50700000000000001</v>
      </c>
      <c r="AI61" s="44">
        <f t="shared" si="34"/>
        <v>0.47599999999999998</v>
      </c>
      <c r="AJ61" s="44">
        <f t="shared" si="35"/>
        <v>0.41399999999999998</v>
      </c>
      <c r="AK61" s="44">
        <f t="shared" si="36"/>
        <v>0.40200000000000002</v>
      </c>
      <c r="AL61" s="45">
        <f t="shared" si="37"/>
        <v>0.377</v>
      </c>
    </row>
    <row r="62" spans="1:38" x14ac:dyDescent="0.35">
      <c r="A62" s="250">
        <v>36</v>
      </c>
      <c r="B62" s="118">
        <v>2121</v>
      </c>
      <c r="C62">
        <v>5</v>
      </c>
      <c r="D62">
        <v>4</v>
      </c>
      <c r="E62" s="132" t="s">
        <v>72</v>
      </c>
      <c r="F62" s="133" t="s">
        <v>19</v>
      </c>
      <c r="G62" s="218" t="s">
        <v>20</v>
      </c>
      <c r="H62" s="31">
        <v>1</v>
      </c>
      <c r="I62" s="42">
        <f t="shared" si="0"/>
        <v>874</v>
      </c>
      <c r="J62" s="66">
        <f t="shared" si="1"/>
        <v>874</v>
      </c>
      <c r="K62" s="77">
        <v>590</v>
      </c>
      <c r="L62" s="61">
        <f t="shared" si="39"/>
        <v>592</v>
      </c>
      <c r="M62" s="43">
        <f t="shared" si="40"/>
        <v>618</v>
      </c>
      <c r="N62" s="43">
        <f t="shared" si="41"/>
        <v>634</v>
      </c>
      <c r="O62" s="43">
        <f t="shared" si="42"/>
        <v>643</v>
      </c>
      <c r="P62" s="66">
        <f t="shared" si="43"/>
        <v>638</v>
      </c>
      <c r="Q62" s="5">
        <f t="shared" si="38"/>
        <v>0.67500000000000004</v>
      </c>
      <c r="R62" s="73">
        <f t="shared" si="20"/>
        <v>0.67700000000000005</v>
      </c>
      <c r="S62" s="44">
        <f t="shared" si="21"/>
        <v>0.70699999999999996</v>
      </c>
      <c r="T62" s="44">
        <f t="shared" si="22"/>
        <v>0.72499999999999998</v>
      </c>
      <c r="U62" s="44">
        <f t="shared" si="23"/>
        <v>0.73599999999999999</v>
      </c>
      <c r="V62" s="450">
        <f t="shared" si="24"/>
        <v>0.73</v>
      </c>
      <c r="Y62" s="61">
        <f t="shared" si="11"/>
        <v>830</v>
      </c>
      <c r="Z62" s="66">
        <f t="shared" si="25"/>
        <v>830</v>
      </c>
      <c r="AA62" s="77">
        <f t="shared" si="26"/>
        <v>590</v>
      </c>
      <c r="AB62" s="61">
        <f t="shared" si="27"/>
        <v>592</v>
      </c>
      <c r="AC62" s="43">
        <f t="shared" si="28"/>
        <v>618</v>
      </c>
      <c r="AD62" s="43">
        <f t="shared" si="29"/>
        <v>634</v>
      </c>
      <c r="AE62" s="43">
        <f t="shared" si="30"/>
        <v>643</v>
      </c>
      <c r="AF62" s="66">
        <f t="shared" si="31"/>
        <v>638</v>
      </c>
      <c r="AG62" s="5">
        <f t="shared" si="32"/>
        <v>0.71099999999999997</v>
      </c>
      <c r="AH62" s="73">
        <f t="shared" si="33"/>
        <v>0.71299999999999997</v>
      </c>
      <c r="AI62" s="44">
        <f t="shared" si="34"/>
        <v>0.745</v>
      </c>
      <c r="AJ62" s="44">
        <f t="shared" si="35"/>
        <v>0.76400000000000001</v>
      </c>
      <c r="AK62" s="44">
        <f t="shared" si="36"/>
        <v>0.77500000000000002</v>
      </c>
      <c r="AL62" s="45">
        <f t="shared" si="37"/>
        <v>0.76900000000000002</v>
      </c>
    </row>
    <row r="63" spans="1:38" x14ac:dyDescent="0.35">
      <c r="A63" s="250">
        <v>31</v>
      </c>
      <c r="B63" s="118">
        <v>2051</v>
      </c>
      <c r="C63">
        <v>5</v>
      </c>
      <c r="D63">
        <v>4</v>
      </c>
      <c r="E63" s="132" t="s">
        <v>73</v>
      </c>
      <c r="F63" s="133" t="s">
        <v>19</v>
      </c>
      <c r="G63" s="218" t="s">
        <v>20</v>
      </c>
      <c r="H63" s="31">
        <v>1</v>
      </c>
      <c r="I63" s="42">
        <f t="shared" si="0"/>
        <v>811</v>
      </c>
      <c r="J63" s="66">
        <f t="shared" si="1"/>
        <v>811</v>
      </c>
      <c r="K63" s="77">
        <v>476</v>
      </c>
      <c r="L63" s="61">
        <f t="shared" si="39"/>
        <v>423</v>
      </c>
      <c r="M63" s="43">
        <f t="shared" si="40"/>
        <v>497</v>
      </c>
      <c r="N63" s="43">
        <f t="shared" si="41"/>
        <v>484</v>
      </c>
      <c r="O63" s="43">
        <f t="shared" si="42"/>
        <v>452</v>
      </c>
      <c r="P63" s="66">
        <f t="shared" si="43"/>
        <v>445</v>
      </c>
      <c r="Q63" s="5">
        <f t="shared" si="38"/>
        <v>0.58699999999999997</v>
      </c>
      <c r="R63" s="73">
        <f t="shared" si="20"/>
        <v>0.52200000000000002</v>
      </c>
      <c r="S63" s="44">
        <f t="shared" si="21"/>
        <v>0.61299999999999999</v>
      </c>
      <c r="T63" s="44">
        <f t="shared" si="22"/>
        <v>0.59699999999999998</v>
      </c>
      <c r="U63" s="44">
        <f t="shared" si="23"/>
        <v>0.55700000000000005</v>
      </c>
      <c r="V63" s="450">
        <f t="shared" si="24"/>
        <v>0.54900000000000004</v>
      </c>
      <c r="Y63" s="61">
        <f t="shared" si="11"/>
        <v>679</v>
      </c>
      <c r="Z63" s="66">
        <f t="shared" si="25"/>
        <v>679</v>
      </c>
      <c r="AA63" s="77">
        <f t="shared" si="26"/>
        <v>476</v>
      </c>
      <c r="AB63" s="61">
        <f t="shared" si="27"/>
        <v>423</v>
      </c>
      <c r="AC63" s="43">
        <f t="shared" si="28"/>
        <v>497</v>
      </c>
      <c r="AD63" s="43">
        <f t="shared" si="29"/>
        <v>484</v>
      </c>
      <c r="AE63" s="43">
        <f t="shared" si="30"/>
        <v>452</v>
      </c>
      <c r="AF63" s="66">
        <f t="shared" si="31"/>
        <v>445</v>
      </c>
      <c r="AG63" s="5">
        <f t="shared" si="32"/>
        <v>0.70099999999999996</v>
      </c>
      <c r="AH63" s="73">
        <f t="shared" si="33"/>
        <v>0.623</v>
      </c>
      <c r="AI63" s="44">
        <f t="shared" si="34"/>
        <v>0.73199999999999998</v>
      </c>
      <c r="AJ63" s="44">
        <f t="shared" si="35"/>
        <v>0.71299999999999997</v>
      </c>
      <c r="AK63" s="44">
        <f t="shared" si="36"/>
        <v>0.66600000000000004</v>
      </c>
      <c r="AL63" s="45">
        <f t="shared" si="37"/>
        <v>0.65500000000000003</v>
      </c>
    </row>
    <row r="64" spans="1:38" x14ac:dyDescent="0.35">
      <c r="A64" s="250">
        <v>127</v>
      </c>
      <c r="B64" s="118">
        <v>3161</v>
      </c>
      <c r="C64">
        <v>4</v>
      </c>
      <c r="D64">
        <v>4</v>
      </c>
      <c r="E64" s="119" t="s">
        <v>505</v>
      </c>
      <c r="F64" s="120" t="s">
        <v>19</v>
      </c>
      <c r="G64" s="216" t="s">
        <v>22</v>
      </c>
      <c r="H64" s="81">
        <v>1</v>
      </c>
      <c r="I64" s="54">
        <f t="shared" si="0"/>
        <v>1030</v>
      </c>
      <c r="J64" s="69">
        <f t="shared" si="1"/>
        <v>1030</v>
      </c>
      <c r="K64" s="121">
        <v>950</v>
      </c>
      <c r="L64" s="122">
        <f t="shared" si="39"/>
        <v>994</v>
      </c>
      <c r="M64" s="505">
        <f t="shared" si="40"/>
        <v>1038</v>
      </c>
      <c r="N64" s="505">
        <f t="shared" si="41"/>
        <v>1082</v>
      </c>
      <c r="O64" s="505">
        <f t="shared" si="42"/>
        <v>1126</v>
      </c>
      <c r="P64" s="506">
        <f t="shared" si="43"/>
        <v>1170</v>
      </c>
      <c r="Q64" s="9">
        <f t="shared" ref="Q64" si="49">ROUND(K64/$J64,3)</f>
        <v>0.92200000000000004</v>
      </c>
      <c r="R64" s="76">
        <f t="shared" si="20"/>
        <v>0.96499999999999997</v>
      </c>
      <c r="S64" s="56">
        <f t="shared" si="21"/>
        <v>1.008</v>
      </c>
      <c r="T64" s="56">
        <f t="shared" si="22"/>
        <v>1.05</v>
      </c>
      <c r="U64" s="56">
        <f t="shared" si="23"/>
        <v>1.093</v>
      </c>
      <c r="V64" s="57">
        <f t="shared" si="24"/>
        <v>1.1359999999999999</v>
      </c>
      <c r="Y64" s="64">
        <f t="shared" si="11"/>
        <v>1030</v>
      </c>
      <c r="Z64" s="69">
        <f t="shared" si="25"/>
        <v>1030</v>
      </c>
      <c r="AA64" s="121">
        <f t="shared" si="26"/>
        <v>950</v>
      </c>
      <c r="AB64" s="424">
        <f t="shared" si="27"/>
        <v>994</v>
      </c>
      <c r="AC64" s="123">
        <f t="shared" si="28"/>
        <v>1038</v>
      </c>
      <c r="AD64" s="123">
        <f t="shared" si="29"/>
        <v>1082</v>
      </c>
      <c r="AE64" s="123">
        <f t="shared" si="30"/>
        <v>1126</v>
      </c>
      <c r="AF64" s="124">
        <f t="shared" si="31"/>
        <v>1170</v>
      </c>
      <c r="AG64" s="9">
        <f t="shared" si="32"/>
        <v>0.92200000000000004</v>
      </c>
      <c r="AH64" s="76">
        <f t="shared" si="33"/>
        <v>0.96499999999999997</v>
      </c>
      <c r="AI64" s="56">
        <f t="shared" si="34"/>
        <v>1.008</v>
      </c>
      <c r="AJ64" s="56">
        <f t="shared" si="35"/>
        <v>1.05</v>
      </c>
      <c r="AK64" s="56">
        <f t="shared" si="36"/>
        <v>1.093</v>
      </c>
      <c r="AL64" s="57">
        <f t="shared" si="37"/>
        <v>1.1359999999999999</v>
      </c>
    </row>
    <row r="65" spans="1:56" x14ac:dyDescent="0.35">
      <c r="A65" s="251">
        <v>30</v>
      </c>
      <c r="B65" s="118">
        <v>2042</v>
      </c>
      <c r="C65">
        <v>5</v>
      </c>
      <c r="D65">
        <v>4</v>
      </c>
      <c r="E65" s="132" t="s">
        <v>74</v>
      </c>
      <c r="F65" s="133" t="s">
        <v>19</v>
      </c>
      <c r="G65" s="218" t="s">
        <v>22</v>
      </c>
      <c r="H65" s="31">
        <v>1</v>
      </c>
      <c r="I65" s="528">
        <f>VLOOKUP(A65,SchLand,14, FALSE)+VLOOKUP(A65,SchLand,17, FALSE)</f>
        <v>760</v>
      </c>
      <c r="J65" s="504">
        <f t="shared" si="1"/>
        <v>760</v>
      </c>
      <c r="K65" s="77">
        <v>604</v>
      </c>
      <c r="L65" s="432">
        <f t="shared" si="39"/>
        <v>605</v>
      </c>
      <c r="M65" s="503">
        <f t="shared" si="40"/>
        <v>605</v>
      </c>
      <c r="N65" s="503">
        <f t="shared" si="41"/>
        <v>605</v>
      </c>
      <c r="O65" s="503">
        <f t="shared" si="42"/>
        <v>605</v>
      </c>
      <c r="P65" s="504">
        <f t="shared" si="43"/>
        <v>605</v>
      </c>
      <c r="Q65" s="5">
        <f t="shared" si="38"/>
        <v>0.79500000000000004</v>
      </c>
      <c r="R65" s="525">
        <f t="shared" ref="R65" si="50">ROUND(L65/$J65,3)</f>
        <v>0.79600000000000004</v>
      </c>
      <c r="S65" s="526">
        <f t="shared" ref="S65" si="51">ROUND(M65/$J65,3)</f>
        <v>0.79600000000000004</v>
      </c>
      <c r="T65" s="526">
        <f t="shared" ref="T65" si="52">ROUND(N65/$J65,3)</f>
        <v>0.79600000000000004</v>
      </c>
      <c r="U65" s="526">
        <f t="shared" ref="U65" si="53">ROUND(O65/$J65,3)</f>
        <v>0.79600000000000004</v>
      </c>
      <c r="V65" s="532">
        <f t="shared" si="24"/>
        <v>0.79600000000000004</v>
      </c>
      <c r="Y65" s="432">
        <f t="shared" ref="Y65" si="54">VLOOKUP(A65,SchLand,14, FALSE)</f>
        <v>760</v>
      </c>
      <c r="Z65" s="504">
        <f t="shared" ref="Z65" si="55">ROUND(Y65*H65,0)</f>
        <v>760</v>
      </c>
      <c r="AA65" s="77">
        <f t="shared" si="26"/>
        <v>604</v>
      </c>
      <c r="AB65" s="61">
        <f t="shared" si="27"/>
        <v>605</v>
      </c>
      <c r="AC65" s="43">
        <f t="shared" si="28"/>
        <v>605</v>
      </c>
      <c r="AD65" s="43">
        <f t="shared" si="29"/>
        <v>605</v>
      </c>
      <c r="AE65" s="43">
        <f t="shared" si="30"/>
        <v>605</v>
      </c>
      <c r="AF65" s="66">
        <f t="shared" si="31"/>
        <v>605</v>
      </c>
      <c r="AG65" s="5">
        <f t="shared" si="32"/>
        <v>0.79500000000000004</v>
      </c>
      <c r="AH65" s="73">
        <f t="shared" si="33"/>
        <v>0.79600000000000004</v>
      </c>
      <c r="AI65" s="44">
        <f t="shared" si="34"/>
        <v>0.79600000000000004</v>
      </c>
      <c r="AJ65" s="44">
        <f t="shared" si="35"/>
        <v>0.79600000000000004</v>
      </c>
      <c r="AK65" s="44">
        <f t="shared" si="36"/>
        <v>0.79600000000000004</v>
      </c>
      <c r="AL65" s="45">
        <f t="shared" si="37"/>
        <v>0.79600000000000004</v>
      </c>
    </row>
    <row r="66" spans="1:56" x14ac:dyDescent="0.35">
      <c r="A66" s="250">
        <v>109</v>
      </c>
      <c r="B66" s="118">
        <v>2212</v>
      </c>
      <c r="C66">
        <v>5</v>
      </c>
      <c r="D66">
        <v>4</v>
      </c>
      <c r="E66" s="132" t="s">
        <v>75</v>
      </c>
      <c r="F66" s="133" t="s">
        <v>19</v>
      </c>
      <c r="G66" s="218" t="s">
        <v>20</v>
      </c>
      <c r="H66" s="31">
        <v>1</v>
      </c>
      <c r="I66" s="131">
        <f t="shared" si="0"/>
        <v>1029</v>
      </c>
      <c r="J66" s="66">
        <f t="shared" si="1"/>
        <v>1029</v>
      </c>
      <c r="K66" s="77">
        <v>946</v>
      </c>
      <c r="L66" s="61">
        <f t="shared" si="39"/>
        <v>977</v>
      </c>
      <c r="M66" s="43">
        <f t="shared" si="40"/>
        <v>1050</v>
      </c>
      <c r="N66" s="43">
        <f t="shared" si="41"/>
        <v>1109</v>
      </c>
      <c r="O66" s="43">
        <f t="shared" si="42"/>
        <v>1169</v>
      </c>
      <c r="P66" s="66">
        <f t="shared" si="43"/>
        <v>1213</v>
      </c>
      <c r="Q66" s="5">
        <f t="shared" si="38"/>
        <v>0.91900000000000004</v>
      </c>
      <c r="R66" s="73">
        <f>ROUND(L66/($J66+216),3)</f>
        <v>0.78500000000000003</v>
      </c>
      <c r="S66" s="44">
        <f t="shared" ref="S66:V66" si="56">ROUND(M66/($J66+216),3)</f>
        <v>0.84299999999999997</v>
      </c>
      <c r="T66" s="44">
        <f t="shared" si="56"/>
        <v>0.89100000000000001</v>
      </c>
      <c r="U66" s="44">
        <f t="shared" si="56"/>
        <v>0.93899999999999995</v>
      </c>
      <c r="V66" s="450">
        <f t="shared" si="56"/>
        <v>0.97399999999999998</v>
      </c>
      <c r="Y66" s="439">
        <f t="shared" si="11"/>
        <v>853</v>
      </c>
      <c r="Z66" s="66">
        <f t="shared" si="25"/>
        <v>853</v>
      </c>
      <c r="AA66" s="77">
        <f t="shared" si="26"/>
        <v>946</v>
      </c>
      <c r="AB66" s="61">
        <f t="shared" si="27"/>
        <v>977</v>
      </c>
      <c r="AC66" s="43">
        <f t="shared" si="28"/>
        <v>1050</v>
      </c>
      <c r="AD66" s="43">
        <f t="shared" si="29"/>
        <v>1109</v>
      </c>
      <c r="AE66" s="43">
        <f t="shared" si="30"/>
        <v>1169</v>
      </c>
      <c r="AF66" s="66">
        <f t="shared" si="31"/>
        <v>1213</v>
      </c>
      <c r="AG66" s="5">
        <f t="shared" si="32"/>
        <v>1.109</v>
      </c>
      <c r="AH66" s="73">
        <f>ROUND(AB66/($Z66+216),3)</f>
        <v>0.91400000000000003</v>
      </c>
      <c r="AI66" s="44">
        <f t="shared" ref="AI66:AL66" si="57">ROUND(AC66/($Z66+216),3)</f>
        <v>0.98199999999999998</v>
      </c>
      <c r="AJ66" s="44">
        <f t="shared" si="57"/>
        <v>1.0369999999999999</v>
      </c>
      <c r="AK66" s="44">
        <f t="shared" si="57"/>
        <v>1.0940000000000001</v>
      </c>
      <c r="AL66" s="45">
        <f t="shared" si="57"/>
        <v>1.135</v>
      </c>
    </row>
    <row r="67" spans="1:56" x14ac:dyDescent="0.35">
      <c r="A67" s="250">
        <v>111</v>
      </c>
      <c r="B67" s="118">
        <v>1151</v>
      </c>
      <c r="C67">
        <v>4</v>
      </c>
      <c r="D67">
        <v>4</v>
      </c>
      <c r="E67" s="143" t="s">
        <v>76</v>
      </c>
      <c r="F67" s="144" t="s">
        <v>19</v>
      </c>
      <c r="G67" s="223" t="s">
        <v>20</v>
      </c>
      <c r="H67" s="7">
        <v>1</v>
      </c>
      <c r="I67" s="145">
        <f t="shared" si="0"/>
        <v>715</v>
      </c>
      <c r="J67" s="68">
        <f t="shared" si="1"/>
        <v>715</v>
      </c>
      <c r="K67" s="79">
        <v>406</v>
      </c>
      <c r="L67" s="63">
        <f t="shared" si="39"/>
        <v>402</v>
      </c>
      <c r="M67" s="58">
        <f t="shared" si="40"/>
        <v>399</v>
      </c>
      <c r="N67" s="58">
        <f t="shared" si="41"/>
        <v>395</v>
      </c>
      <c r="O67" s="58">
        <f t="shared" si="42"/>
        <v>384</v>
      </c>
      <c r="P67" s="68">
        <f t="shared" si="43"/>
        <v>390</v>
      </c>
      <c r="Q67" s="8">
        <f t="shared" ref="Q67:Q96" si="58">ROUND(K67/$J67,3)</f>
        <v>0.56799999999999995</v>
      </c>
      <c r="R67" s="75">
        <f t="shared" si="20"/>
        <v>0.56200000000000006</v>
      </c>
      <c r="S67" s="59">
        <f t="shared" si="21"/>
        <v>0.55800000000000005</v>
      </c>
      <c r="T67" s="59">
        <f t="shared" si="22"/>
        <v>0.55200000000000005</v>
      </c>
      <c r="U67" s="59">
        <f t="shared" si="23"/>
        <v>0.53700000000000003</v>
      </c>
      <c r="V67" s="60">
        <f t="shared" si="24"/>
        <v>0.54500000000000004</v>
      </c>
      <c r="Y67" s="441">
        <f t="shared" si="11"/>
        <v>627</v>
      </c>
      <c r="Z67" s="68">
        <f t="shared" si="25"/>
        <v>627</v>
      </c>
      <c r="AA67" s="79">
        <f t="shared" si="26"/>
        <v>406</v>
      </c>
      <c r="AB67" s="63">
        <f t="shared" si="27"/>
        <v>402</v>
      </c>
      <c r="AC67" s="58">
        <f t="shared" si="28"/>
        <v>399</v>
      </c>
      <c r="AD67" s="58">
        <f t="shared" si="29"/>
        <v>395</v>
      </c>
      <c r="AE67" s="58">
        <f t="shared" si="30"/>
        <v>384</v>
      </c>
      <c r="AF67" s="68">
        <f t="shared" si="31"/>
        <v>390</v>
      </c>
      <c r="AG67" s="8">
        <f t="shared" si="32"/>
        <v>0.64800000000000002</v>
      </c>
      <c r="AH67" s="75">
        <f t="shared" si="33"/>
        <v>0.64100000000000001</v>
      </c>
      <c r="AI67" s="59">
        <f t="shared" si="34"/>
        <v>0.63600000000000001</v>
      </c>
      <c r="AJ67" s="59">
        <f t="shared" si="35"/>
        <v>0.63</v>
      </c>
      <c r="AK67" s="59">
        <f t="shared" si="36"/>
        <v>0.61199999999999999</v>
      </c>
      <c r="AL67" s="60">
        <f t="shared" si="37"/>
        <v>0.622</v>
      </c>
    </row>
    <row r="68" spans="1:56" s="135" customFormat="1" x14ac:dyDescent="0.35">
      <c r="A68" s="250">
        <v>110</v>
      </c>
      <c r="B68" s="118">
        <v>3021</v>
      </c>
      <c r="C68">
        <v>5</v>
      </c>
      <c r="D68">
        <v>5</v>
      </c>
      <c r="E68" s="146" t="s">
        <v>77</v>
      </c>
      <c r="F68" s="149" t="s">
        <v>78</v>
      </c>
      <c r="G68" s="224" t="s">
        <v>79</v>
      </c>
      <c r="H68" s="31">
        <v>0.9</v>
      </c>
      <c r="I68" s="42">
        <f t="shared" ref="I68:I78" si="59">VLOOKUP(A68,SchLand,14, FALSE)+VLOOKUP(A68,SchLand,17, FALSE)</f>
        <v>1682</v>
      </c>
      <c r="J68" s="66">
        <f t="shared" si="1"/>
        <v>1514</v>
      </c>
      <c r="K68" s="77">
        <v>1035</v>
      </c>
      <c r="L68" s="61">
        <f t="shared" si="39"/>
        <v>991</v>
      </c>
      <c r="M68" s="43">
        <f t="shared" si="40"/>
        <v>970</v>
      </c>
      <c r="N68" s="43">
        <f t="shared" si="41"/>
        <v>1001</v>
      </c>
      <c r="O68" s="43">
        <f t="shared" si="42"/>
        <v>1045</v>
      </c>
      <c r="P68" s="66">
        <f t="shared" si="43"/>
        <v>1089</v>
      </c>
      <c r="Q68" s="5">
        <f t="shared" ref="Q68" si="60">ROUND(K68/$J68,3)</f>
        <v>0.68400000000000005</v>
      </c>
      <c r="R68" s="73">
        <f t="shared" si="20"/>
        <v>0.65500000000000003</v>
      </c>
      <c r="S68" s="44">
        <f t="shared" si="21"/>
        <v>0.64100000000000001</v>
      </c>
      <c r="T68" s="44">
        <f t="shared" si="22"/>
        <v>0.66100000000000003</v>
      </c>
      <c r="U68" s="44">
        <f t="shared" si="23"/>
        <v>0.69</v>
      </c>
      <c r="V68" s="450">
        <f t="shared" si="24"/>
        <v>0.71899999999999997</v>
      </c>
      <c r="W68"/>
      <c r="X68"/>
      <c r="Y68" s="432">
        <f t="shared" si="11"/>
        <v>1682</v>
      </c>
      <c r="Z68" s="504">
        <f t="shared" si="25"/>
        <v>1514</v>
      </c>
      <c r="AA68" s="523">
        <f t="shared" ref="AA68:AA77" si="61">K68</f>
        <v>1035</v>
      </c>
      <c r="AB68" s="432">
        <f t="shared" ref="AB68:AB77" si="62">L68</f>
        <v>991</v>
      </c>
      <c r="AC68" s="503">
        <f t="shared" si="28"/>
        <v>970</v>
      </c>
      <c r="AD68" s="503">
        <f t="shared" si="29"/>
        <v>1001</v>
      </c>
      <c r="AE68" s="503">
        <f t="shared" si="30"/>
        <v>1045</v>
      </c>
      <c r="AF68" s="504">
        <f t="shared" si="31"/>
        <v>1089</v>
      </c>
      <c r="AG68" s="524">
        <f t="shared" si="32"/>
        <v>0.68400000000000005</v>
      </c>
      <c r="AH68" s="525">
        <f t="shared" si="33"/>
        <v>0.65500000000000003</v>
      </c>
      <c r="AI68" s="526">
        <f t="shared" si="34"/>
        <v>0.64100000000000001</v>
      </c>
      <c r="AJ68" s="526">
        <f t="shared" si="35"/>
        <v>0.66100000000000003</v>
      </c>
      <c r="AK68" s="526">
        <f t="shared" si="36"/>
        <v>0.69</v>
      </c>
      <c r="AL68" s="527">
        <f t="shared" si="37"/>
        <v>0.71899999999999997</v>
      </c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</row>
    <row r="69" spans="1:56" hidden="1" x14ac:dyDescent="0.35">
      <c r="A69" s="253">
        <v>17</v>
      </c>
      <c r="B69" s="134">
        <v>1031</v>
      </c>
      <c r="C69" s="135">
        <v>2</v>
      </c>
      <c r="D69" s="135">
        <v>100</v>
      </c>
      <c r="E69" s="141" t="s">
        <v>138</v>
      </c>
      <c r="F69" s="142" t="s">
        <v>140</v>
      </c>
      <c r="G69" s="522" t="s">
        <v>142</v>
      </c>
      <c r="H69" s="39">
        <v>0.9</v>
      </c>
      <c r="I69" s="140"/>
      <c r="J69" s="67"/>
      <c r="K69" s="78"/>
      <c r="L69" s="62"/>
      <c r="M69" s="47"/>
      <c r="N69" s="47"/>
      <c r="O69" s="47"/>
      <c r="P69" s="67"/>
      <c r="Q69" s="41"/>
      <c r="R69" s="74"/>
      <c r="S69" s="48"/>
      <c r="T69" s="48"/>
      <c r="U69" s="48"/>
      <c r="V69" s="451"/>
      <c r="Y69" s="439">
        <f t="shared" si="11"/>
        <v>848</v>
      </c>
      <c r="Z69" s="66">
        <f t="shared" si="25"/>
        <v>763</v>
      </c>
      <c r="AA69" s="77">
        <f t="shared" si="61"/>
        <v>0</v>
      </c>
      <c r="AB69" s="61">
        <f t="shared" si="62"/>
        <v>0</v>
      </c>
      <c r="AC69" s="43">
        <f t="shared" si="28"/>
        <v>0</v>
      </c>
      <c r="AD69" s="43">
        <f t="shared" si="29"/>
        <v>0</v>
      </c>
      <c r="AE69" s="43">
        <f t="shared" si="30"/>
        <v>0</v>
      </c>
      <c r="AF69" s="66">
        <f t="shared" si="31"/>
        <v>0</v>
      </c>
      <c r="AG69" s="5">
        <f t="shared" si="32"/>
        <v>0</v>
      </c>
      <c r="AH69" s="73">
        <f t="shared" si="33"/>
        <v>0</v>
      </c>
      <c r="AI69" s="44">
        <f t="shared" si="34"/>
        <v>0</v>
      </c>
      <c r="AJ69" s="44">
        <f t="shared" si="35"/>
        <v>0</v>
      </c>
      <c r="AK69" s="44">
        <f t="shared" si="36"/>
        <v>0</v>
      </c>
      <c r="AL69" s="45">
        <f t="shared" si="37"/>
        <v>0</v>
      </c>
    </row>
    <row r="70" spans="1:56" x14ac:dyDescent="0.35">
      <c r="A70" s="250">
        <v>67</v>
      </c>
      <c r="B70" s="118">
        <v>6012</v>
      </c>
      <c r="C70">
        <v>3</v>
      </c>
      <c r="D70">
        <v>5</v>
      </c>
      <c r="E70" s="147" t="s">
        <v>80</v>
      </c>
      <c r="F70" s="148" t="s">
        <v>78</v>
      </c>
      <c r="G70" s="221" t="s">
        <v>79</v>
      </c>
      <c r="H70" s="31">
        <v>0.9</v>
      </c>
      <c r="I70" s="42">
        <f t="shared" si="59"/>
        <v>1067</v>
      </c>
      <c r="J70" s="66">
        <f t="shared" ref="J70:J95" si="63">ROUND(H70*I70,0)</f>
        <v>960</v>
      </c>
      <c r="K70" s="77">
        <v>488</v>
      </c>
      <c r="L70" s="61">
        <f t="shared" si="39"/>
        <v>466</v>
      </c>
      <c r="M70" s="43">
        <f t="shared" si="40"/>
        <v>467</v>
      </c>
      <c r="N70" s="43">
        <f t="shared" si="41"/>
        <v>445</v>
      </c>
      <c r="O70" s="43">
        <f t="shared" si="42"/>
        <v>425</v>
      </c>
      <c r="P70" s="66">
        <f t="shared" si="43"/>
        <v>423</v>
      </c>
      <c r="Q70" s="5">
        <f t="shared" si="58"/>
        <v>0.50800000000000001</v>
      </c>
      <c r="R70" s="73">
        <f t="shared" si="20"/>
        <v>0.48499999999999999</v>
      </c>
      <c r="S70" s="44">
        <f t="shared" si="21"/>
        <v>0.48599999999999999</v>
      </c>
      <c r="T70" s="44">
        <f t="shared" si="22"/>
        <v>0.46400000000000002</v>
      </c>
      <c r="U70" s="44">
        <f t="shared" si="23"/>
        <v>0.443</v>
      </c>
      <c r="V70" s="450">
        <f t="shared" si="24"/>
        <v>0.441</v>
      </c>
      <c r="Y70" s="61">
        <f t="shared" ref="Y70:Y96" si="64">VLOOKUP(A70,SchLand,14, FALSE)</f>
        <v>1067</v>
      </c>
      <c r="Z70" s="66">
        <f t="shared" si="25"/>
        <v>960</v>
      </c>
      <c r="AA70" s="77">
        <f t="shared" si="61"/>
        <v>488</v>
      </c>
      <c r="AB70" s="61">
        <f t="shared" si="62"/>
        <v>466</v>
      </c>
      <c r="AC70" s="43">
        <f t="shared" si="28"/>
        <v>467</v>
      </c>
      <c r="AD70" s="43">
        <f t="shared" si="29"/>
        <v>445</v>
      </c>
      <c r="AE70" s="43">
        <f t="shared" si="30"/>
        <v>425</v>
      </c>
      <c r="AF70" s="66">
        <f t="shared" si="31"/>
        <v>423</v>
      </c>
      <c r="AG70" s="5">
        <f t="shared" si="32"/>
        <v>0.50800000000000001</v>
      </c>
      <c r="AH70" s="73">
        <f t="shared" si="33"/>
        <v>0.48499999999999999</v>
      </c>
      <c r="AI70" s="44">
        <f t="shared" si="34"/>
        <v>0.48599999999999999</v>
      </c>
      <c r="AJ70" s="44">
        <f t="shared" si="35"/>
        <v>0.46400000000000002</v>
      </c>
      <c r="AK70" s="44">
        <f t="shared" si="36"/>
        <v>0.443</v>
      </c>
      <c r="AL70" s="45">
        <f t="shared" si="37"/>
        <v>0.441</v>
      </c>
    </row>
    <row r="71" spans="1:56" x14ac:dyDescent="0.35">
      <c r="A71" s="250">
        <v>73</v>
      </c>
      <c r="B71" s="118">
        <v>6082</v>
      </c>
      <c r="C71">
        <v>3</v>
      </c>
      <c r="D71">
        <v>5</v>
      </c>
      <c r="E71" s="146" t="s">
        <v>81</v>
      </c>
      <c r="F71" s="149" t="s">
        <v>78</v>
      </c>
      <c r="G71" s="220" t="s">
        <v>79</v>
      </c>
      <c r="H71" s="34">
        <v>0.9</v>
      </c>
      <c r="I71" s="42">
        <f t="shared" si="59"/>
        <v>755</v>
      </c>
      <c r="J71" s="66">
        <f t="shared" si="63"/>
        <v>680</v>
      </c>
      <c r="K71" s="77">
        <v>461</v>
      </c>
      <c r="L71" s="61">
        <f t="shared" si="39"/>
        <v>445</v>
      </c>
      <c r="M71" s="43">
        <f t="shared" si="40"/>
        <v>454</v>
      </c>
      <c r="N71" s="43">
        <f t="shared" si="41"/>
        <v>444</v>
      </c>
      <c r="O71" s="43">
        <f t="shared" si="42"/>
        <v>427</v>
      </c>
      <c r="P71" s="66">
        <f t="shared" si="43"/>
        <v>432</v>
      </c>
      <c r="Q71" s="5">
        <f t="shared" si="58"/>
        <v>0.67800000000000005</v>
      </c>
      <c r="R71" s="73">
        <f t="shared" ref="R71:R96" si="65">ROUND(L71/$J71,3)</f>
        <v>0.65400000000000003</v>
      </c>
      <c r="S71" s="44">
        <f t="shared" ref="S71:S96" si="66">ROUND(M71/$J71,3)</f>
        <v>0.66800000000000004</v>
      </c>
      <c r="T71" s="44">
        <f t="shared" ref="T71:T96" si="67">ROUND(N71/$J71,3)</f>
        <v>0.65300000000000002</v>
      </c>
      <c r="U71" s="44">
        <f t="shared" ref="U71:U96" si="68">ROUND(O71/$J71,3)</f>
        <v>0.628</v>
      </c>
      <c r="V71" s="450">
        <f t="shared" ref="V71:V96" si="69">ROUND(P71/$J71,3)</f>
        <v>0.63500000000000001</v>
      </c>
      <c r="Y71" s="61">
        <f t="shared" si="64"/>
        <v>755</v>
      </c>
      <c r="Z71" s="66">
        <f t="shared" ref="Z71:Z96" si="70">ROUND(Y71*H71,0)</f>
        <v>680</v>
      </c>
      <c r="AA71" s="77">
        <f t="shared" si="61"/>
        <v>461</v>
      </c>
      <c r="AB71" s="61">
        <f t="shared" si="62"/>
        <v>445</v>
      </c>
      <c r="AC71" s="43">
        <f t="shared" ref="AC71:AC96" si="71">M71</f>
        <v>454</v>
      </c>
      <c r="AD71" s="43">
        <f t="shared" ref="AD71:AD96" si="72">N71</f>
        <v>444</v>
      </c>
      <c r="AE71" s="43">
        <f t="shared" ref="AE71:AE96" si="73">O71</f>
        <v>427</v>
      </c>
      <c r="AF71" s="66">
        <f t="shared" ref="AF71:AF96" si="74">P71</f>
        <v>432</v>
      </c>
      <c r="AG71" s="5">
        <f t="shared" ref="AG71:AG96" si="75">ROUND(AA71/$Z71,3)</f>
        <v>0.67800000000000005</v>
      </c>
      <c r="AH71" s="73">
        <f t="shared" ref="AH71:AH96" si="76">ROUND(AB71/$Z71,3)</f>
        <v>0.65400000000000003</v>
      </c>
      <c r="AI71" s="44">
        <f t="shared" ref="AI71:AI95" si="77">ROUND(AC71/$Z71,3)</f>
        <v>0.66800000000000004</v>
      </c>
      <c r="AJ71" s="44">
        <f t="shared" ref="AJ71:AJ95" si="78">ROUND(AD71/$Z71,3)</f>
        <v>0.65300000000000002</v>
      </c>
      <c r="AK71" s="44">
        <f t="shared" ref="AK71:AK95" si="79">ROUND(AE71/$Z71,3)</f>
        <v>0.628</v>
      </c>
      <c r="AL71" s="45">
        <f t="shared" ref="AL71:AL95" si="80">ROUND(AF71/$Z71,3)</f>
        <v>0.63500000000000001</v>
      </c>
    </row>
    <row r="72" spans="1:56" x14ac:dyDescent="0.35">
      <c r="A72" s="250">
        <v>10</v>
      </c>
      <c r="B72" s="118">
        <v>141</v>
      </c>
      <c r="C72">
        <v>1</v>
      </c>
      <c r="D72">
        <v>5</v>
      </c>
      <c r="E72" s="146" t="s">
        <v>82</v>
      </c>
      <c r="F72" s="149" t="s">
        <v>78</v>
      </c>
      <c r="G72" s="220" t="s">
        <v>79</v>
      </c>
      <c r="H72" s="34">
        <v>0.9</v>
      </c>
      <c r="I72" s="42">
        <f t="shared" si="59"/>
        <v>733</v>
      </c>
      <c r="J72" s="66">
        <f t="shared" si="63"/>
        <v>660</v>
      </c>
      <c r="K72" s="77">
        <v>468</v>
      </c>
      <c r="L72" s="61">
        <f t="shared" ref="L72:L96" si="81">VLOOKUP(B72,budgeting2025,11,FALSE)</f>
        <v>443</v>
      </c>
      <c r="M72" s="43">
        <f t="shared" ref="M72:M96" si="82">VLOOKUP(B72,Combo2024,29,FALSE)</f>
        <v>460</v>
      </c>
      <c r="N72" s="43">
        <f t="shared" ref="N72:N96" si="83">VLOOKUP(B72,Combo2024,30,FALSE)</f>
        <v>457</v>
      </c>
      <c r="O72" s="43">
        <f t="shared" ref="O72:O96" si="84">VLOOKUP(B72,Combo2024,31,FALSE)</f>
        <v>417</v>
      </c>
      <c r="P72" s="66">
        <f t="shared" ref="P72:P96" si="85">VLOOKUP(B72,Combo2024,32,FALSE)</f>
        <v>394</v>
      </c>
      <c r="Q72" s="5">
        <f t="shared" si="58"/>
        <v>0.70899999999999996</v>
      </c>
      <c r="R72" s="73">
        <f t="shared" si="65"/>
        <v>0.67100000000000004</v>
      </c>
      <c r="S72" s="44">
        <f t="shared" si="66"/>
        <v>0.69699999999999995</v>
      </c>
      <c r="T72" s="44">
        <f t="shared" si="67"/>
        <v>0.69199999999999995</v>
      </c>
      <c r="U72" s="44">
        <f t="shared" si="68"/>
        <v>0.63200000000000001</v>
      </c>
      <c r="V72" s="450">
        <f t="shared" si="69"/>
        <v>0.59699999999999998</v>
      </c>
      <c r="Y72" s="61">
        <f t="shared" si="64"/>
        <v>733</v>
      </c>
      <c r="Z72" s="66">
        <f t="shared" si="70"/>
        <v>660</v>
      </c>
      <c r="AA72" s="77">
        <f t="shared" si="61"/>
        <v>468</v>
      </c>
      <c r="AB72" s="61">
        <f t="shared" si="62"/>
        <v>443</v>
      </c>
      <c r="AC72" s="43">
        <f t="shared" si="71"/>
        <v>460</v>
      </c>
      <c r="AD72" s="43">
        <f t="shared" si="72"/>
        <v>457</v>
      </c>
      <c r="AE72" s="43">
        <f t="shared" si="73"/>
        <v>417</v>
      </c>
      <c r="AF72" s="66">
        <f t="shared" si="74"/>
        <v>394</v>
      </c>
      <c r="AG72" s="5">
        <f t="shared" si="75"/>
        <v>0.70899999999999996</v>
      </c>
      <c r="AH72" s="73">
        <f t="shared" si="76"/>
        <v>0.67100000000000004</v>
      </c>
      <c r="AI72" s="44">
        <f t="shared" si="77"/>
        <v>0.69699999999999995</v>
      </c>
      <c r="AJ72" s="44">
        <f t="shared" si="78"/>
        <v>0.69199999999999995</v>
      </c>
      <c r="AK72" s="44">
        <f t="shared" si="79"/>
        <v>0.63200000000000001</v>
      </c>
      <c r="AL72" s="45">
        <f t="shared" si="80"/>
        <v>0.59699999999999998</v>
      </c>
    </row>
    <row r="73" spans="1:56" x14ac:dyDescent="0.35">
      <c r="A73" s="250">
        <v>60</v>
      </c>
      <c r="B73" s="118">
        <v>4111</v>
      </c>
      <c r="C73">
        <v>2</v>
      </c>
      <c r="D73">
        <v>5</v>
      </c>
      <c r="E73" s="146" t="s">
        <v>83</v>
      </c>
      <c r="F73" s="149" t="s">
        <v>78</v>
      </c>
      <c r="G73" s="220" t="s">
        <v>79</v>
      </c>
      <c r="H73" s="34">
        <v>0.9</v>
      </c>
      <c r="I73" s="42">
        <f t="shared" si="59"/>
        <v>970</v>
      </c>
      <c r="J73" s="66">
        <f t="shared" si="63"/>
        <v>873</v>
      </c>
      <c r="K73" s="77">
        <v>443</v>
      </c>
      <c r="L73" s="61">
        <f t="shared" si="81"/>
        <v>387</v>
      </c>
      <c r="M73" s="43">
        <f t="shared" si="82"/>
        <v>351</v>
      </c>
      <c r="N73" s="43">
        <f t="shared" si="83"/>
        <v>391</v>
      </c>
      <c r="O73" s="43">
        <f t="shared" si="84"/>
        <v>374</v>
      </c>
      <c r="P73" s="66">
        <f t="shared" si="85"/>
        <v>330</v>
      </c>
      <c r="Q73" s="5">
        <f t="shared" si="58"/>
        <v>0.50700000000000001</v>
      </c>
      <c r="R73" s="73">
        <f t="shared" si="65"/>
        <v>0.443</v>
      </c>
      <c r="S73" s="44">
        <f t="shared" si="66"/>
        <v>0.40200000000000002</v>
      </c>
      <c r="T73" s="44">
        <f t="shared" si="67"/>
        <v>0.44800000000000001</v>
      </c>
      <c r="U73" s="44">
        <f t="shared" si="68"/>
        <v>0.42799999999999999</v>
      </c>
      <c r="V73" s="450">
        <f t="shared" si="69"/>
        <v>0.378</v>
      </c>
      <c r="Y73" s="61">
        <f t="shared" si="64"/>
        <v>970</v>
      </c>
      <c r="Z73" s="66">
        <f t="shared" si="70"/>
        <v>873</v>
      </c>
      <c r="AA73" s="77">
        <f t="shared" si="61"/>
        <v>443</v>
      </c>
      <c r="AB73" s="61">
        <f t="shared" si="62"/>
        <v>387</v>
      </c>
      <c r="AC73" s="43">
        <f t="shared" si="71"/>
        <v>351</v>
      </c>
      <c r="AD73" s="43">
        <f t="shared" si="72"/>
        <v>391</v>
      </c>
      <c r="AE73" s="43">
        <f t="shared" si="73"/>
        <v>374</v>
      </c>
      <c r="AF73" s="66">
        <f t="shared" si="74"/>
        <v>330</v>
      </c>
      <c r="AG73" s="5">
        <f t="shared" si="75"/>
        <v>0.50700000000000001</v>
      </c>
      <c r="AH73" s="73">
        <f t="shared" si="76"/>
        <v>0.443</v>
      </c>
      <c r="AI73" s="44">
        <f t="shared" si="77"/>
        <v>0.40200000000000002</v>
      </c>
      <c r="AJ73" s="44">
        <f t="shared" si="78"/>
        <v>0.44800000000000001</v>
      </c>
      <c r="AK73" s="44">
        <f t="shared" si="79"/>
        <v>0.42799999999999999</v>
      </c>
      <c r="AL73" s="45">
        <f t="shared" si="80"/>
        <v>0.378</v>
      </c>
    </row>
    <row r="74" spans="1:56" x14ac:dyDescent="0.35">
      <c r="A74" s="250">
        <v>45</v>
      </c>
      <c r="B74" s="118">
        <v>3031</v>
      </c>
      <c r="C74">
        <v>4</v>
      </c>
      <c r="D74">
        <v>5</v>
      </c>
      <c r="E74" s="146" t="s">
        <v>84</v>
      </c>
      <c r="F74" s="149" t="s">
        <v>78</v>
      </c>
      <c r="G74" s="220" t="s">
        <v>79</v>
      </c>
      <c r="H74" s="34">
        <v>0.9</v>
      </c>
      <c r="I74" s="131">
        <f t="shared" si="59"/>
        <v>1182</v>
      </c>
      <c r="J74" s="66">
        <f t="shared" si="63"/>
        <v>1064</v>
      </c>
      <c r="K74" s="77">
        <v>552</v>
      </c>
      <c r="L74" s="61">
        <f t="shared" si="81"/>
        <v>529</v>
      </c>
      <c r="M74" s="43">
        <f t="shared" si="82"/>
        <v>572</v>
      </c>
      <c r="N74" s="43">
        <f t="shared" si="83"/>
        <v>592</v>
      </c>
      <c r="O74" s="43">
        <f t="shared" si="84"/>
        <v>591</v>
      </c>
      <c r="P74" s="66">
        <f t="shared" si="85"/>
        <v>608</v>
      </c>
      <c r="Q74" s="5">
        <f t="shared" si="58"/>
        <v>0.51900000000000002</v>
      </c>
      <c r="R74" s="73">
        <f t="shared" si="65"/>
        <v>0.497</v>
      </c>
      <c r="S74" s="44">
        <f t="shared" si="66"/>
        <v>0.53800000000000003</v>
      </c>
      <c r="T74" s="44">
        <f t="shared" si="67"/>
        <v>0.55600000000000005</v>
      </c>
      <c r="U74" s="44">
        <f t="shared" si="68"/>
        <v>0.55500000000000005</v>
      </c>
      <c r="V74" s="450">
        <f t="shared" si="69"/>
        <v>0.57099999999999995</v>
      </c>
      <c r="Y74" s="439">
        <f t="shared" si="64"/>
        <v>1182</v>
      </c>
      <c r="Z74" s="66">
        <f t="shared" si="70"/>
        <v>1064</v>
      </c>
      <c r="AA74" s="77">
        <f t="shared" si="61"/>
        <v>552</v>
      </c>
      <c r="AB74" s="61">
        <f t="shared" si="62"/>
        <v>529</v>
      </c>
      <c r="AC74" s="43">
        <f t="shared" si="71"/>
        <v>572</v>
      </c>
      <c r="AD74" s="43">
        <f t="shared" si="72"/>
        <v>592</v>
      </c>
      <c r="AE74" s="43">
        <f t="shared" si="73"/>
        <v>591</v>
      </c>
      <c r="AF74" s="66">
        <f t="shared" si="74"/>
        <v>608</v>
      </c>
      <c r="AG74" s="5">
        <f t="shared" si="75"/>
        <v>0.51900000000000002</v>
      </c>
      <c r="AH74" s="73">
        <f t="shared" si="76"/>
        <v>0.497</v>
      </c>
      <c r="AI74" s="44">
        <f t="shared" si="77"/>
        <v>0.53800000000000003</v>
      </c>
      <c r="AJ74" s="44">
        <f t="shared" si="78"/>
        <v>0.55600000000000005</v>
      </c>
      <c r="AK74" s="44">
        <f t="shared" si="79"/>
        <v>0.55500000000000005</v>
      </c>
      <c r="AL74" s="45">
        <f t="shared" si="80"/>
        <v>0.57099999999999995</v>
      </c>
    </row>
    <row r="75" spans="1:56" x14ac:dyDescent="0.35">
      <c r="A75" s="250">
        <v>23</v>
      </c>
      <c r="B75" s="118">
        <v>1101</v>
      </c>
      <c r="C75">
        <v>4</v>
      </c>
      <c r="D75">
        <v>5</v>
      </c>
      <c r="E75" s="146" t="s">
        <v>85</v>
      </c>
      <c r="F75" s="149" t="s">
        <v>78</v>
      </c>
      <c r="G75" s="220" t="s">
        <v>79</v>
      </c>
      <c r="H75" s="34">
        <v>0.9</v>
      </c>
      <c r="I75" s="131">
        <f t="shared" si="59"/>
        <v>805</v>
      </c>
      <c r="J75" s="66">
        <f t="shared" si="63"/>
        <v>725</v>
      </c>
      <c r="K75" s="77">
        <v>381</v>
      </c>
      <c r="L75" s="61">
        <f t="shared" si="81"/>
        <v>373</v>
      </c>
      <c r="M75" s="43">
        <f t="shared" si="82"/>
        <v>407</v>
      </c>
      <c r="N75" s="43">
        <f t="shared" si="83"/>
        <v>395</v>
      </c>
      <c r="O75" s="43">
        <f t="shared" si="84"/>
        <v>369</v>
      </c>
      <c r="P75" s="66">
        <f t="shared" si="85"/>
        <v>374</v>
      </c>
      <c r="Q75" s="5">
        <f t="shared" si="58"/>
        <v>0.52600000000000002</v>
      </c>
      <c r="R75" s="73">
        <f t="shared" si="65"/>
        <v>0.51400000000000001</v>
      </c>
      <c r="S75" s="44">
        <f t="shared" si="66"/>
        <v>0.56100000000000005</v>
      </c>
      <c r="T75" s="44">
        <f t="shared" si="67"/>
        <v>0.54500000000000004</v>
      </c>
      <c r="U75" s="44">
        <f t="shared" si="68"/>
        <v>0.50900000000000001</v>
      </c>
      <c r="V75" s="450">
        <f t="shared" si="69"/>
        <v>0.51600000000000001</v>
      </c>
      <c r="Y75" s="439">
        <f t="shared" si="64"/>
        <v>805</v>
      </c>
      <c r="Z75" s="66">
        <f t="shared" si="70"/>
        <v>725</v>
      </c>
      <c r="AA75" s="77">
        <f t="shared" si="61"/>
        <v>381</v>
      </c>
      <c r="AB75" s="61">
        <f t="shared" si="62"/>
        <v>373</v>
      </c>
      <c r="AC75" s="43">
        <f t="shared" si="71"/>
        <v>407</v>
      </c>
      <c r="AD75" s="43">
        <f t="shared" si="72"/>
        <v>395</v>
      </c>
      <c r="AE75" s="43">
        <f t="shared" si="73"/>
        <v>369</v>
      </c>
      <c r="AF75" s="66">
        <f t="shared" si="74"/>
        <v>374</v>
      </c>
      <c r="AG75" s="5">
        <f t="shared" si="75"/>
        <v>0.52600000000000002</v>
      </c>
      <c r="AH75" s="73">
        <f t="shared" si="76"/>
        <v>0.51400000000000001</v>
      </c>
      <c r="AI75" s="44">
        <f t="shared" si="77"/>
        <v>0.56100000000000005</v>
      </c>
      <c r="AJ75" s="44">
        <f t="shared" si="78"/>
        <v>0.54500000000000004</v>
      </c>
      <c r="AK75" s="44">
        <f t="shared" si="79"/>
        <v>0.50900000000000001</v>
      </c>
      <c r="AL75" s="45">
        <f t="shared" si="80"/>
        <v>0.51600000000000001</v>
      </c>
    </row>
    <row r="76" spans="1:56" x14ac:dyDescent="0.35">
      <c r="A76" s="250">
        <v>3</v>
      </c>
      <c r="B76" s="118">
        <v>52</v>
      </c>
      <c r="C76">
        <v>1</v>
      </c>
      <c r="D76">
        <v>5</v>
      </c>
      <c r="E76" s="146" t="s">
        <v>86</v>
      </c>
      <c r="F76" s="149" t="s">
        <v>78</v>
      </c>
      <c r="G76" s="220" t="s">
        <v>79</v>
      </c>
      <c r="H76" s="34">
        <v>0.9</v>
      </c>
      <c r="I76" s="131">
        <f t="shared" si="59"/>
        <v>868</v>
      </c>
      <c r="J76" s="66">
        <f t="shared" si="63"/>
        <v>781</v>
      </c>
      <c r="K76" s="77">
        <v>424</v>
      </c>
      <c r="L76" s="61">
        <f t="shared" si="81"/>
        <v>410</v>
      </c>
      <c r="M76" s="43">
        <f t="shared" si="82"/>
        <v>434</v>
      </c>
      <c r="N76" s="43">
        <f t="shared" si="83"/>
        <v>463</v>
      </c>
      <c r="O76" s="43">
        <f t="shared" si="84"/>
        <v>441</v>
      </c>
      <c r="P76" s="66">
        <f t="shared" si="85"/>
        <v>388</v>
      </c>
      <c r="Q76" s="5">
        <f t="shared" si="58"/>
        <v>0.54300000000000004</v>
      </c>
      <c r="R76" s="73">
        <f t="shared" si="65"/>
        <v>0.52500000000000002</v>
      </c>
      <c r="S76" s="44">
        <f t="shared" si="66"/>
        <v>0.55600000000000005</v>
      </c>
      <c r="T76" s="44">
        <f t="shared" si="67"/>
        <v>0.59299999999999997</v>
      </c>
      <c r="U76" s="44">
        <f t="shared" si="68"/>
        <v>0.56499999999999995</v>
      </c>
      <c r="V76" s="450">
        <f t="shared" si="69"/>
        <v>0.497</v>
      </c>
      <c r="Y76" s="439">
        <f t="shared" si="64"/>
        <v>868</v>
      </c>
      <c r="Z76" s="66">
        <f t="shared" si="70"/>
        <v>781</v>
      </c>
      <c r="AA76" s="77">
        <f t="shared" si="61"/>
        <v>424</v>
      </c>
      <c r="AB76" s="61">
        <f t="shared" si="62"/>
        <v>410</v>
      </c>
      <c r="AC76" s="43">
        <f t="shared" si="71"/>
        <v>434</v>
      </c>
      <c r="AD76" s="43">
        <f t="shared" si="72"/>
        <v>463</v>
      </c>
      <c r="AE76" s="43">
        <f t="shared" si="73"/>
        <v>441</v>
      </c>
      <c r="AF76" s="66">
        <f t="shared" si="74"/>
        <v>388</v>
      </c>
      <c r="AG76" s="5">
        <f t="shared" si="75"/>
        <v>0.54300000000000004</v>
      </c>
      <c r="AH76" s="73">
        <f t="shared" si="76"/>
        <v>0.52500000000000002</v>
      </c>
      <c r="AI76" s="44">
        <f t="shared" si="77"/>
        <v>0.55600000000000005</v>
      </c>
      <c r="AJ76" s="44">
        <f t="shared" si="78"/>
        <v>0.59299999999999997</v>
      </c>
      <c r="AK76" s="44">
        <f t="shared" si="79"/>
        <v>0.56499999999999995</v>
      </c>
      <c r="AL76" s="45">
        <f t="shared" si="80"/>
        <v>0.497</v>
      </c>
    </row>
    <row r="77" spans="1:56" x14ac:dyDescent="0.35">
      <c r="A77" s="250">
        <v>21</v>
      </c>
      <c r="B77" s="118">
        <v>1081</v>
      </c>
      <c r="C77">
        <v>4</v>
      </c>
      <c r="D77">
        <v>5</v>
      </c>
      <c r="E77" s="147" t="s">
        <v>87</v>
      </c>
      <c r="F77" s="148" t="s">
        <v>78</v>
      </c>
      <c r="G77" s="221" t="s">
        <v>79</v>
      </c>
      <c r="H77" s="31">
        <v>0.9</v>
      </c>
      <c r="I77" s="42">
        <f t="shared" si="59"/>
        <v>684</v>
      </c>
      <c r="J77" s="66">
        <f t="shared" si="63"/>
        <v>616</v>
      </c>
      <c r="K77" s="77">
        <v>249</v>
      </c>
      <c r="L77" s="61">
        <f t="shared" si="81"/>
        <v>240</v>
      </c>
      <c r="M77" s="43">
        <f t="shared" si="82"/>
        <v>240</v>
      </c>
      <c r="N77" s="43">
        <f t="shared" si="83"/>
        <v>274</v>
      </c>
      <c r="O77" s="43">
        <f t="shared" si="84"/>
        <v>269</v>
      </c>
      <c r="P77" s="66">
        <f t="shared" si="85"/>
        <v>253</v>
      </c>
      <c r="Q77" s="5">
        <f t="shared" si="58"/>
        <v>0.40400000000000003</v>
      </c>
      <c r="R77" s="73">
        <f t="shared" si="65"/>
        <v>0.39</v>
      </c>
      <c r="S77" s="44">
        <f t="shared" si="66"/>
        <v>0.39</v>
      </c>
      <c r="T77" s="44">
        <f t="shared" si="67"/>
        <v>0.44500000000000001</v>
      </c>
      <c r="U77" s="44">
        <f t="shared" si="68"/>
        <v>0.437</v>
      </c>
      <c r="V77" s="450">
        <f t="shared" si="69"/>
        <v>0.41099999999999998</v>
      </c>
      <c r="Y77" s="61">
        <f t="shared" si="64"/>
        <v>684</v>
      </c>
      <c r="Z77" s="66">
        <f t="shared" si="70"/>
        <v>616</v>
      </c>
      <c r="AA77" s="77">
        <f t="shared" si="61"/>
        <v>249</v>
      </c>
      <c r="AB77" s="61">
        <f t="shared" si="62"/>
        <v>240</v>
      </c>
      <c r="AC77" s="43">
        <f t="shared" si="71"/>
        <v>240</v>
      </c>
      <c r="AD77" s="43">
        <f t="shared" si="72"/>
        <v>274</v>
      </c>
      <c r="AE77" s="43">
        <f t="shared" si="73"/>
        <v>269</v>
      </c>
      <c r="AF77" s="66">
        <f t="shared" si="74"/>
        <v>253</v>
      </c>
      <c r="AG77" s="5">
        <f t="shared" si="75"/>
        <v>0.40400000000000003</v>
      </c>
      <c r="AH77" s="73">
        <f t="shared" si="76"/>
        <v>0.39</v>
      </c>
      <c r="AI77" s="44">
        <f t="shared" si="77"/>
        <v>0.39</v>
      </c>
      <c r="AJ77" s="44">
        <f t="shared" si="78"/>
        <v>0.44500000000000001</v>
      </c>
      <c r="AK77" s="44">
        <f t="shared" si="79"/>
        <v>0.437</v>
      </c>
      <c r="AL77" s="45">
        <f t="shared" si="80"/>
        <v>0.41099999999999998</v>
      </c>
    </row>
    <row r="78" spans="1:56" x14ac:dyDescent="0.35">
      <c r="A78" s="250">
        <v>37</v>
      </c>
      <c r="B78" s="118">
        <v>2122</v>
      </c>
      <c r="C78">
        <v>5</v>
      </c>
      <c r="D78">
        <v>5</v>
      </c>
      <c r="E78" s="509" t="s">
        <v>88</v>
      </c>
      <c r="F78" s="510" t="s">
        <v>78</v>
      </c>
      <c r="G78" s="511" t="s">
        <v>79</v>
      </c>
      <c r="H78" s="512">
        <v>0.9</v>
      </c>
      <c r="I78" s="513">
        <f t="shared" si="59"/>
        <v>1423</v>
      </c>
      <c r="J78" s="514">
        <f t="shared" ref="J78:J80" si="86">ROUND(H78*I78,0)</f>
        <v>1281</v>
      </c>
      <c r="K78" s="515">
        <v>987</v>
      </c>
      <c r="L78" s="516">
        <f t="shared" si="81"/>
        <v>987</v>
      </c>
      <c r="M78" s="517">
        <f t="shared" si="82"/>
        <v>1063</v>
      </c>
      <c r="N78" s="517">
        <f t="shared" si="83"/>
        <v>1249</v>
      </c>
      <c r="O78" s="517">
        <f t="shared" si="84"/>
        <v>1245</v>
      </c>
      <c r="P78" s="514">
        <f t="shared" si="85"/>
        <v>1368</v>
      </c>
      <c r="Q78" s="518">
        <f t="shared" si="58"/>
        <v>0.77</v>
      </c>
      <c r="R78" s="519">
        <f t="shared" si="65"/>
        <v>0.77</v>
      </c>
      <c r="S78" s="520">
        <f t="shared" si="66"/>
        <v>0.83</v>
      </c>
      <c r="T78" s="520">
        <f t="shared" si="67"/>
        <v>0.97499999999999998</v>
      </c>
      <c r="U78" s="520">
        <f t="shared" si="68"/>
        <v>0.97199999999999998</v>
      </c>
      <c r="V78" s="521">
        <f t="shared" si="69"/>
        <v>1.0680000000000001</v>
      </c>
      <c r="Y78" s="516">
        <f t="shared" si="64"/>
        <v>1423</v>
      </c>
      <c r="Z78" s="514">
        <f t="shared" si="70"/>
        <v>1281</v>
      </c>
      <c r="AA78" s="515">
        <f t="shared" ref="AA78:AA80" si="87">K78</f>
        <v>987</v>
      </c>
      <c r="AB78" s="516">
        <f t="shared" ref="AB78:AB80" si="88">L78</f>
        <v>987</v>
      </c>
      <c r="AC78" s="517">
        <f t="shared" ref="AC78:AC80" si="89">M78</f>
        <v>1063</v>
      </c>
      <c r="AD78" s="517">
        <f t="shared" ref="AD78:AD80" si="90">N78</f>
        <v>1249</v>
      </c>
      <c r="AE78" s="517">
        <f t="shared" ref="AE78:AE80" si="91">O78</f>
        <v>1245</v>
      </c>
      <c r="AF78" s="514">
        <f t="shared" ref="AF78:AF80" si="92">P78</f>
        <v>1368</v>
      </c>
      <c r="AG78" s="518">
        <f t="shared" ref="AG78:AG80" si="93">ROUND(AA78/$Z78,3)</f>
        <v>0.77</v>
      </c>
      <c r="AH78" s="519">
        <f t="shared" ref="AH78:AH80" si="94">ROUND(AB78/$Z78,3)</f>
        <v>0.77</v>
      </c>
      <c r="AI78" s="520">
        <f t="shared" ref="AI78:AI80" si="95">ROUND(AC78/$Z78,3)</f>
        <v>0.83</v>
      </c>
      <c r="AJ78" s="520">
        <f t="shared" ref="AJ78:AJ80" si="96">ROUND(AD78/$Z78,3)</f>
        <v>0.97499999999999998</v>
      </c>
      <c r="AK78" s="520">
        <f t="shared" ref="AK78:AK80" si="97">ROUND(AE78/$Z78,3)</f>
        <v>0.97199999999999998</v>
      </c>
      <c r="AL78" s="521">
        <f t="shared" ref="AL78:AL80" si="98">ROUND(AF78/$Z78,3)</f>
        <v>1.0680000000000001</v>
      </c>
    </row>
    <row r="79" spans="1:56" x14ac:dyDescent="0.35">
      <c r="A79" s="250">
        <v>33</v>
      </c>
      <c r="B79" s="118">
        <v>2071</v>
      </c>
      <c r="C79">
        <v>5</v>
      </c>
      <c r="D79">
        <v>5</v>
      </c>
      <c r="E79" s="509" t="s">
        <v>89</v>
      </c>
      <c r="F79" s="510" t="s">
        <v>78</v>
      </c>
      <c r="G79" s="511" t="s">
        <v>79</v>
      </c>
      <c r="H79" s="512">
        <v>0.9</v>
      </c>
      <c r="I79" s="513">
        <f t="shared" ref="I79:I80" si="99">VLOOKUP(A79,SchLand,14, FALSE)+VLOOKUP(A79,SchLand,17, FALSE)</f>
        <v>1195</v>
      </c>
      <c r="J79" s="514">
        <f t="shared" si="86"/>
        <v>1076</v>
      </c>
      <c r="K79" s="515">
        <v>527</v>
      </c>
      <c r="L79" s="516">
        <f t="shared" si="81"/>
        <v>510</v>
      </c>
      <c r="M79" s="517">
        <f t="shared" si="82"/>
        <v>571</v>
      </c>
      <c r="N79" s="517">
        <f t="shared" si="83"/>
        <v>575</v>
      </c>
      <c r="O79" s="517">
        <f t="shared" si="84"/>
        <v>641</v>
      </c>
      <c r="P79" s="514">
        <f t="shared" si="85"/>
        <v>652</v>
      </c>
      <c r="Q79" s="518">
        <f t="shared" ref="Q79" si="100">ROUND(K79/$J79,3)</f>
        <v>0.49</v>
      </c>
      <c r="R79" s="519">
        <f t="shared" ref="R79" si="101">ROUND(L79/$J79,3)</f>
        <v>0.47399999999999998</v>
      </c>
      <c r="S79" s="520">
        <f t="shared" ref="S79" si="102">ROUND(M79/$J79,3)</f>
        <v>0.53100000000000003</v>
      </c>
      <c r="T79" s="520">
        <f t="shared" ref="T79" si="103">ROUND(N79/$J79,3)</f>
        <v>0.53400000000000003</v>
      </c>
      <c r="U79" s="520">
        <f t="shared" ref="U79" si="104">ROUND(O79/$J79,3)</f>
        <v>0.59599999999999997</v>
      </c>
      <c r="V79" s="521">
        <f t="shared" ref="V79" si="105">ROUND(P79/$J79,3)</f>
        <v>0.60599999999999998</v>
      </c>
      <c r="Y79" s="516">
        <f t="shared" ref="Y79:Y80" si="106">VLOOKUP(A79,SchLand,14, FALSE)</f>
        <v>1195</v>
      </c>
      <c r="Z79" s="514">
        <f t="shared" ref="Z79:Z80" si="107">ROUND(Y79*H79,0)</f>
        <v>1076</v>
      </c>
      <c r="AA79" s="515">
        <f t="shared" si="87"/>
        <v>527</v>
      </c>
      <c r="AB79" s="516">
        <f t="shared" si="88"/>
        <v>510</v>
      </c>
      <c r="AC79" s="517">
        <f t="shared" si="89"/>
        <v>571</v>
      </c>
      <c r="AD79" s="517">
        <f t="shared" si="90"/>
        <v>575</v>
      </c>
      <c r="AE79" s="517">
        <f t="shared" si="91"/>
        <v>641</v>
      </c>
      <c r="AF79" s="514">
        <f t="shared" si="92"/>
        <v>652</v>
      </c>
      <c r="AG79" s="518">
        <f t="shared" si="93"/>
        <v>0.49</v>
      </c>
      <c r="AH79" s="519">
        <f t="shared" si="94"/>
        <v>0.47399999999999998</v>
      </c>
      <c r="AI79" s="520">
        <f t="shared" si="95"/>
        <v>0.53100000000000003</v>
      </c>
      <c r="AJ79" s="520">
        <f t="shared" si="96"/>
        <v>0.53400000000000003</v>
      </c>
      <c r="AK79" s="520">
        <f t="shared" si="97"/>
        <v>0.59599999999999997</v>
      </c>
      <c r="AL79" s="521">
        <f t="shared" si="98"/>
        <v>0.60599999999999998</v>
      </c>
    </row>
    <row r="80" spans="1:56" x14ac:dyDescent="0.35">
      <c r="A80" s="250">
        <v>128</v>
      </c>
      <c r="B80" s="118">
        <v>3171</v>
      </c>
      <c r="C80">
        <v>3</v>
      </c>
      <c r="D80">
        <v>5</v>
      </c>
      <c r="E80" s="150" t="s">
        <v>509</v>
      </c>
      <c r="F80" s="151" t="s">
        <v>78</v>
      </c>
      <c r="G80" s="225" t="s">
        <v>79</v>
      </c>
      <c r="H80" s="40">
        <v>0.9</v>
      </c>
      <c r="I80" s="145">
        <f t="shared" si="99"/>
        <v>996</v>
      </c>
      <c r="J80" s="68">
        <f t="shared" si="86"/>
        <v>896</v>
      </c>
      <c r="K80" s="549">
        <v>832</v>
      </c>
      <c r="L80" s="63">
        <f t="shared" si="81"/>
        <v>878</v>
      </c>
      <c r="M80" s="58">
        <f t="shared" si="82"/>
        <v>910</v>
      </c>
      <c r="N80" s="58">
        <f t="shared" si="83"/>
        <v>921</v>
      </c>
      <c r="O80" s="58">
        <f t="shared" si="84"/>
        <v>923</v>
      </c>
      <c r="P80" s="68">
        <f t="shared" si="85"/>
        <v>945</v>
      </c>
      <c r="Q80" s="550">
        <f t="shared" si="58"/>
        <v>0.92900000000000005</v>
      </c>
      <c r="R80" s="75">
        <f t="shared" si="65"/>
        <v>0.98</v>
      </c>
      <c r="S80" s="59">
        <f t="shared" si="66"/>
        <v>1.016</v>
      </c>
      <c r="T80" s="59">
        <f t="shared" si="67"/>
        <v>1.028</v>
      </c>
      <c r="U80" s="59">
        <f t="shared" si="68"/>
        <v>1.03</v>
      </c>
      <c r="V80" s="60">
        <f t="shared" si="69"/>
        <v>1.0549999999999999</v>
      </c>
      <c r="Y80" s="441">
        <f t="shared" si="106"/>
        <v>996</v>
      </c>
      <c r="Z80" s="68">
        <f t="shared" si="107"/>
        <v>896</v>
      </c>
      <c r="AA80" s="549">
        <f t="shared" si="87"/>
        <v>832</v>
      </c>
      <c r="AB80" s="63">
        <f t="shared" si="88"/>
        <v>878</v>
      </c>
      <c r="AC80" s="58">
        <f t="shared" si="89"/>
        <v>910</v>
      </c>
      <c r="AD80" s="58">
        <f t="shared" si="90"/>
        <v>921</v>
      </c>
      <c r="AE80" s="58">
        <f t="shared" si="91"/>
        <v>923</v>
      </c>
      <c r="AF80" s="68">
        <f t="shared" si="92"/>
        <v>945</v>
      </c>
      <c r="AG80" s="550">
        <f t="shared" si="93"/>
        <v>0.92900000000000005</v>
      </c>
      <c r="AH80" s="75">
        <f t="shared" si="94"/>
        <v>0.98</v>
      </c>
      <c r="AI80" s="59">
        <f t="shared" si="95"/>
        <v>1.016</v>
      </c>
      <c r="AJ80" s="59">
        <f t="shared" si="96"/>
        <v>1.028</v>
      </c>
      <c r="AK80" s="59">
        <f t="shared" si="97"/>
        <v>1.03</v>
      </c>
      <c r="AL80" s="60">
        <f t="shared" si="98"/>
        <v>1.0549999999999999</v>
      </c>
    </row>
    <row r="81" spans="1:38" x14ac:dyDescent="0.35">
      <c r="A81" s="250">
        <v>25</v>
      </c>
      <c r="B81" s="118">
        <v>1121</v>
      </c>
      <c r="C81">
        <v>2</v>
      </c>
      <c r="D81">
        <v>6</v>
      </c>
      <c r="E81" s="152" t="s">
        <v>90</v>
      </c>
      <c r="F81" s="153" t="s">
        <v>91</v>
      </c>
      <c r="G81" s="226" t="s">
        <v>92</v>
      </c>
      <c r="H81" s="30">
        <v>0.9</v>
      </c>
      <c r="I81" s="255">
        <f t="shared" ref="I81:I96" si="108">VLOOKUP(A81,SchLand,14, FALSE)+VLOOKUP(A81,SchLand,17, FALSE)</f>
        <v>2316</v>
      </c>
      <c r="J81" s="69">
        <f>ROUND(H81*I81,0)+1</f>
        <v>2085</v>
      </c>
      <c r="K81" s="80">
        <v>1311</v>
      </c>
      <c r="L81" s="434">
        <f t="shared" si="81"/>
        <v>1235</v>
      </c>
      <c r="M81" s="55">
        <f t="shared" si="82"/>
        <v>1198</v>
      </c>
      <c r="N81" s="55">
        <f t="shared" si="83"/>
        <v>1207</v>
      </c>
      <c r="O81" s="55">
        <f t="shared" si="84"/>
        <v>1204</v>
      </c>
      <c r="P81" s="69">
        <f t="shared" si="85"/>
        <v>1204</v>
      </c>
      <c r="Q81" s="9">
        <f t="shared" si="58"/>
        <v>0.629</v>
      </c>
      <c r="R81" s="76">
        <f t="shared" si="65"/>
        <v>0.59199999999999997</v>
      </c>
      <c r="S81" s="56">
        <f t="shared" si="66"/>
        <v>0.57499999999999996</v>
      </c>
      <c r="T81" s="56">
        <f t="shared" si="67"/>
        <v>0.57899999999999996</v>
      </c>
      <c r="U81" s="56">
        <f t="shared" si="68"/>
        <v>0.57699999999999996</v>
      </c>
      <c r="V81" s="57">
        <f t="shared" si="69"/>
        <v>0.57699999999999996</v>
      </c>
      <c r="Y81" s="64">
        <f t="shared" si="64"/>
        <v>2041</v>
      </c>
      <c r="Z81" s="69">
        <f t="shared" si="70"/>
        <v>1837</v>
      </c>
      <c r="AA81" s="80">
        <f t="shared" ref="AA81:AA96" si="109">K81</f>
        <v>1311</v>
      </c>
      <c r="AB81" s="64">
        <f t="shared" ref="AB81:AB96" si="110">L81</f>
        <v>1235</v>
      </c>
      <c r="AC81" s="55">
        <f t="shared" si="71"/>
        <v>1198</v>
      </c>
      <c r="AD81" s="55">
        <f t="shared" si="72"/>
        <v>1207</v>
      </c>
      <c r="AE81" s="55">
        <f t="shared" si="73"/>
        <v>1204</v>
      </c>
      <c r="AF81" s="69">
        <f t="shared" si="74"/>
        <v>1204</v>
      </c>
      <c r="AG81" s="9">
        <f t="shared" si="75"/>
        <v>0.71399999999999997</v>
      </c>
      <c r="AH81" s="76">
        <f t="shared" si="76"/>
        <v>0.67200000000000004</v>
      </c>
      <c r="AI81" s="56">
        <f t="shared" si="77"/>
        <v>0.65200000000000002</v>
      </c>
      <c r="AJ81" s="56">
        <f t="shared" si="78"/>
        <v>0.65700000000000003</v>
      </c>
      <c r="AK81" s="56">
        <f t="shared" si="79"/>
        <v>0.65500000000000003</v>
      </c>
      <c r="AL81" s="57">
        <f t="shared" si="80"/>
        <v>0.65500000000000003</v>
      </c>
    </row>
    <row r="82" spans="1:38" x14ac:dyDescent="0.35">
      <c r="A82" s="250">
        <v>62</v>
      </c>
      <c r="B82" s="118">
        <v>5011</v>
      </c>
      <c r="C82">
        <v>2</v>
      </c>
      <c r="D82">
        <v>6</v>
      </c>
      <c r="E82" s="154" t="s">
        <v>93</v>
      </c>
      <c r="F82" s="155" t="s">
        <v>91</v>
      </c>
      <c r="G82" s="220" t="s">
        <v>94</v>
      </c>
      <c r="H82" s="34">
        <v>0.9</v>
      </c>
      <c r="I82" s="54">
        <f t="shared" si="108"/>
        <v>1654</v>
      </c>
      <c r="J82" s="66">
        <f>ROUND(H82*I82,0)+1</f>
        <v>1490</v>
      </c>
      <c r="K82" s="77">
        <v>997</v>
      </c>
      <c r="L82" s="61">
        <f t="shared" si="81"/>
        <v>984</v>
      </c>
      <c r="M82" s="43">
        <f t="shared" si="82"/>
        <v>921</v>
      </c>
      <c r="N82" s="43">
        <f t="shared" si="83"/>
        <v>895</v>
      </c>
      <c r="O82" s="43">
        <f t="shared" si="84"/>
        <v>859</v>
      </c>
      <c r="P82" s="66">
        <f t="shared" si="85"/>
        <v>832</v>
      </c>
      <c r="Q82" s="5">
        <f t="shared" si="58"/>
        <v>0.66900000000000004</v>
      </c>
      <c r="R82" s="73">
        <f t="shared" si="65"/>
        <v>0.66</v>
      </c>
      <c r="S82" s="44">
        <f t="shared" si="66"/>
        <v>0.61799999999999999</v>
      </c>
      <c r="T82" s="44">
        <f t="shared" si="67"/>
        <v>0.60099999999999998</v>
      </c>
      <c r="U82" s="44">
        <f t="shared" si="68"/>
        <v>0.57699999999999996</v>
      </c>
      <c r="V82" s="450">
        <f t="shared" si="69"/>
        <v>0.55800000000000005</v>
      </c>
      <c r="Y82" s="61">
        <f t="shared" si="64"/>
        <v>1304</v>
      </c>
      <c r="Z82" s="66">
        <f t="shared" si="70"/>
        <v>1174</v>
      </c>
      <c r="AA82" s="77">
        <f t="shared" si="109"/>
        <v>997</v>
      </c>
      <c r="AB82" s="61">
        <f t="shared" si="110"/>
        <v>984</v>
      </c>
      <c r="AC82" s="43">
        <f t="shared" si="71"/>
        <v>921</v>
      </c>
      <c r="AD82" s="43">
        <f t="shared" si="72"/>
        <v>895</v>
      </c>
      <c r="AE82" s="43">
        <f t="shared" si="73"/>
        <v>859</v>
      </c>
      <c r="AF82" s="66">
        <f t="shared" si="74"/>
        <v>832</v>
      </c>
      <c r="AG82" s="5">
        <f t="shared" si="75"/>
        <v>0.84899999999999998</v>
      </c>
      <c r="AH82" s="73">
        <f t="shared" si="76"/>
        <v>0.83799999999999997</v>
      </c>
      <c r="AI82" s="44">
        <f t="shared" si="77"/>
        <v>0.78400000000000003</v>
      </c>
      <c r="AJ82" s="44">
        <f t="shared" si="78"/>
        <v>0.76200000000000001</v>
      </c>
      <c r="AK82" s="44">
        <f t="shared" si="79"/>
        <v>0.73199999999999998</v>
      </c>
      <c r="AL82" s="45">
        <f t="shared" si="80"/>
        <v>0.70899999999999996</v>
      </c>
    </row>
    <row r="83" spans="1:38" x14ac:dyDescent="0.35">
      <c r="A83" s="250">
        <v>55</v>
      </c>
      <c r="B83" s="118">
        <v>4021</v>
      </c>
      <c r="C83">
        <v>2</v>
      </c>
      <c r="D83">
        <v>6</v>
      </c>
      <c r="E83" s="154" t="s">
        <v>95</v>
      </c>
      <c r="F83" s="155" t="s">
        <v>91</v>
      </c>
      <c r="G83" s="220" t="s">
        <v>94</v>
      </c>
      <c r="H83" s="34">
        <v>0.9</v>
      </c>
      <c r="I83" s="42">
        <f t="shared" si="108"/>
        <v>1286</v>
      </c>
      <c r="J83" s="66">
        <f>ROUND(H83*I83,0)+1</f>
        <v>1158</v>
      </c>
      <c r="K83" s="77">
        <v>942</v>
      </c>
      <c r="L83" s="61">
        <f t="shared" si="81"/>
        <v>944</v>
      </c>
      <c r="M83" s="43">
        <f t="shared" si="82"/>
        <v>944</v>
      </c>
      <c r="N83" s="43">
        <f t="shared" si="83"/>
        <v>944</v>
      </c>
      <c r="O83" s="43">
        <f t="shared" si="84"/>
        <v>944</v>
      </c>
      <c r="P83" s="66">
        <f t="shared" si="85"/>
        <v>944</v>
      </c>
      <c r="Q83" s="5">
        <f t="shared" si="58"/>
        <v>0.81299999999999994</v>
      </c>
      <c r="R83" s="73">
        <f t="shared" si="65"/>
        <v>0.81499999999999995</v>
      </c>
      <c r="S83" s="44">
        <f t="shared" si="66"/>
        <v>0.81499999999999995</v>
      </c>
      <c r="T83" s="44">
        <f t="shared" si="67"/>
        <v>0.81499999999999995</v>
      </c>
      <c r="U83" s="44">
        <f t="shared" si="68"/>
        <v>0.81499999999999995</v>
      </c>
      <c r="V83" s="450">
        <f t="shared" si="69"/>
        <v>0.81499999999999995</v>
      </c>
      <c r="Y83" s="61">
        <f t="shared" si="64"/>
        <v>1195</v>
      </c>
      <c r="Z83" s="66">
        <f t="shared" si="70"/>
        <v>1076</v>
      </c>
      <c r="AA83" s="77">
        <f t="shared" si="109"/>
        <v>942</v>
      </c>
      <c r="AB83" s="61">
        <f t="shared" si="110"/>
        <v>944</v>
      </c>
      <c r="AC83" s="43">
        <f t="shared" si="71"/>
        <v>944</v>
      </c>
      <c r="AD83" s="43">
        <f t="shared" si="72"/>
        <v>944</v>
      </c>
      <c r="AE83" s="43">
        <f t="shared" si="73"/>
        <v>944</v>
      </c>
      <c r="AF83" s="66">
        <f t="shared" si="74"/>
        <v>944</v>
      </c>
      <c r="AG83" s="5">
        <f t="shared" si="75"/>
        <v>0.875</v>
      </c>
      <c r="AH83" s="73">
        <f t="shared" si="76"/>
        <v>0.877</v>
      </c>
      <c r="AI83" s="44">
        <f t="shared" si="77"/>
        <v>0.877</v>
      </c>
      <c r="AJ83" s="44">
        <f t="shared" si="78"/>
        <v>0.877</v>
      </c>
      <c r="AK83" s="44">
        <f t="shared" si="79"/>
        <v>0.877</v>
      </c>
      <c r="AL83" s="45">
        <f t="shared" si="80"/>
        <v>0.877</v>
      </c>
    </row>
    <row r="84" spans="1:38" x14ac:dyDescent="0.35">
      <c r="A84" s="250">
        <v>106</v>
      </c>
      <c r="B84" s="118">
        <v>302</v>
      </c>
      <c r="C84">
        <v>1</v>
      </c>
      <c r="D84">
        <v>6</v>
      </c>
      <c r="E84" s="154" t="s">
        <v>96</v>
      </c>
      <c r="F84" s="155" t="s">
        <v>91</v>
      </c>
      <c r="G84" s="220" t="s">
        <v>94</v>
      </c>
      <c r="H84" s="34">
        <v>0.9</v>
      </c>
      <c r="I84" s="42">
        <f t="shared" si="108"/>
        <v>2058</v>
      </c>
      <c r="J84" s="66">
        <f t="shared" si="63"/>
        <v>1852</v>
      </c>
      <c r="K84" s="77">
        <v>1465</v>
      </c>
      <c r="L84" s="61">
        <f t="shared" si="81"/>
        <v>1424</v>
      </c>
      <c r="M84" s="43">
        <f t="shared" si="82"/>
        <v>1380</v>
      </c>
      <c r="N84" s="43">
        <f t="shared" si="83"/>
        <v>1364</v>
      </c>
      <c r="O84" s="43">
        <f t="shared" si="84"/>
        <v>1302</v>
      </c>
      <c r="P84" s="66">
        <f t="shared" si="85"/>
        <v>1311</v>
      </c>
      <c r="Q84" s="5">
        <f t="shared" si="58"/>
        <v>0.79100000000000004</v>
      </c>
      <c r="R84" s="73">
        <f t="shared" si="65"/>
        <v>0.76900000000000002</v>
      </c>
      <c r="S84" s="44">
        <f t="shared" si="66"/>
        <v>0.745</v>
      </c>
      <c r="T84" s="44">
        <f t="shared" si="67"/>
        <v>0.73699999999999999</v>
      </c>
      <c r="U84" s="44">
        <f t="shared" si="68"/>
        <v>0.70299999999999996</v>
      </c>
      <c r="V84" s="450">
        <f t="shared" si="69"/>
        <v>0.70799999999999996</v>
      </c>
      <c r="Y84" s="61">
        <f t="shared" si="64"/>
        <v>1971</v>
      </c>
      <c r="Z84" s="66">
        <f t="shared" si="70"/>
        <v>1774</v>
      </c>
      <c r="AA84" s="77">
        <f t="shared" si="109"/>
        <v>1465</v>
      </c>
      <c r="AB84" s="61">
        <f t="shared" si="110"/>
        <v>1424</v>
      </c>
      <c r="AC84" s="43">
        <f t="shared" si="71"/>
        <v>1380</v>
      </c>
      <c r="AD84" s="43">
        <f t="shared" si="72"/>
        <v>1364</v>
      </c>
      <c r="AE84" s="43">
        <f t="shared" si="73"/>
        <v>1302</v>
      </c>
      <c r="AF84" s="66">
        <f t="shared" si="74"/>
        <v>1311</v>
      </c>
      <c r="AG84" s="5">
        <f t="shared" si="75"/>
        <v>0.82599999999999996</v>
      </c>
      <c r="AH84" s="73">
        <f t="shared" si="76"/>
        <v>0.80300000000000005</v>
      </c>
      <c r="AI84" s="44">
        <f t="shared" si="77"/>
        <v>0.77800000000000002</v>
      </c>
      <c r="AJ84" s="44">
        <f t="shared" si="78"/>
        <v>0.76900000000000002</v>
      </c>
      <c r="AK84" s="44">
        <f t="shared" si="79"/>
        <v>0.73399999999999999</v>
      </c>
      <c r="AL84" s="45">
        <f t="shared" si="80"/>
        <v>0.73899999999999999</v>
      </c>
    </row>
    <row r="85" spans="1:38" x14ac:dyDescent="0.35">
      <c r="A85" s="250">
        <v>44</v>
      </c>
      <c r="B85" s="118">
        <v>3141</v>
      </c>
      <c r="C85">
        <v>5</v>
      </c>
      <c r="D85">
        <v>6</v>
      </c>
      <c r="E85" s="547" t="s">
        <v>97</v>
      </c>
      <c r="F85" s="548" t="s">
        <v>91</v>
      </c>
      <c r="G85" s="225" t="s">
        <v>94</v>
      </c>
      <c r="H85" s="40">
        <v>0.9</v>
      </c>
      <c r="I85" s="145">
        <f t="shared" si="108"/>
        <v>1404</v>
      </c>
      <c r="J85" s="68">
        <f t="shared" si="63"/>
        <v>1264</v>
      </c>
      <c r="K85" s="79">
        <v>941</v>
      </c>
      <c r="L85" s="63">
        <f t="shared" si="81"/>
        <v>942</v>
      </c>
      <c r="M85" s="58">
        <f t="shared" si="82"/>
        <v>942</v>
      </c>
      <c r="N85" s="58">
        <f t="shared" si="83"/>
        <v>942</v>
      </c>
      <c r="O85" s="58">
        <f t="shared" si="84"/>
        <v>942</v>
      </c>
      <c r="P85" s="68">
        <f t="shared" si="85"/>
        <v>942</v>
      </c>
      <c r="Q85" s="8">
        <f t="shared" si="58"/>
        <v>0.74399999999999999</v>
      </c>
      <c r="R85" s="75">
        <f t="shared" si="65"/>
        <v>0.745</v>
      </c>
      <c r="S85" s="59">
        <f t="shared" si="66"/>
        <v>0.745</v>
      </c>
      <c r="T85" s="59">
        <f t="shared" si="67"/>
        <v>0.745</v>
      </c>
      <c r="U85" s="59">
        <f t="shared" si="68"/>
        <v>0.745</v>
      </c>
      <c r="V85" s="60">
        <f t="shared" si="69"/>
        <v>0.745</v>
      </c>
      <c r="Y85" s="441">
        <f t="shared" si="64"/>
        <v>1232</v>
      </c>
      <c r="Z85" s="68">
        <f t="shared" si="70"/>
        <v>1109</v>
      </c>
      <c r="AA85" s="79">
        <f t="shared" si="109"/>
        <v>941</v>
      </c>
      <c r="AB85" s="63">
        <f t="shared" si="110"/>
        <v>942</v>
      </c>
      <c r="AC85" s="58">
        <f t="shared" si="71"/>
        <v>942</v>
      </c>
      <c r="AD85" s="58">
        <f t="shared" si="72"/>
        <v>942</v>
      </c>
      <c r="AE85" s="58">
        <f t="shared" si="73"/>
        <v>942</v>
      </c>
      <c r="AF85" s="68">
        <f t="shared" si="74"/>
        <v>942</v>
      </c>
      <c r="AG85" s="8">
        <f t="shared" si="75"/>
        <v>0.84899999999999998</v>
      </c>
      <c r="AH85" s="75">
        <f t="shared" si="76"/>
        <v>0.84899999999999998</v>
      </c>
      <c r="AI85" s="59">
        <f t="shared" si="77"/>
        <v>0.84899999999999998</v>
      </c>
      <c r="AJ85" s="59">
        <f t="shared" si="78"/>
        <v>0.84899999999999998</v>
      </c>
      <c r="AK85" s="59">
        <f t="shared" si="79"/>
        <v>0.84899999999999998</v>
      </c>
      <c r="AL85" s="60">
        <f t="shared" si="80"/>
        <v>0.84899999999999998</v>
      </c>
    </row>
    <row r="86" spans="1:38" x14ac:dyDescent="0.35">
      <c r="A86" s="250">
        <v>12</v>
      </c>
      <c r="B86" s="118">
        <v>161</v>
      </c>
      <c r="C86">
        <v>1</v>
      </c>
      <c r="D86">
        <v>7</v>
      </c>
      <c r="E86" s="543" t="s">
        <v>98</v>
      </c>
      <c r="F86" s="544" t="s">
        <v>99</v>
      </c>
      <c r="G86" s="545" t="s">
        <v>100</v>
      </c>
      <c r="H86" s="546">
        <v>0.95</v>
      </c>
      <c r="I86" s="54">
        <f t="shared" si="108"/>
        <v>1527</v>
      </c>
      <c r="J86" s="69">
        <f t="shared" si="63"/>
        <v>1451</v>
      </c>
      <c r="K86" s="80">
        <v>1018</v>
      </c>
      <c r="L86" s="64">
        <f t="shared" si="81"/>
        <v>1006</v>
      </c>
      <c r="M86" s="55">
        <f t="shared" si="82"/>
        <v>956</v>
      </c>
      <c r="N86" s="55">
        <f t="shared" si="83"/>
        <v>912</v>
      </c>
      <c r="O86" s="55">
        <f t="shared" si="84"/>
        <v>904</v>
      </c>
      <c r="P86" s="69">
        <f t="shared" si="85"/>
        <v>901</v>
      </c>
      <c r="Q86" s="9">
        <f t="shared" si="58"/>
        <v>0.70199999999999996</v>
      </c>
      <c r="R86" s="76">
        <f t="shared" si="65"/>
        <v>0.69299999999999995</v>
      </c>
      <c r="S86" s="56">
        <f t="shared" si="66"/>
        <v>0.65900000000000003</v>
      </c>
      <c r="T86" s="56">
        <f t="shared" si="67"/>
        <v>0.629</v>
      </c>
      <c r="U86" s="56">
        <f t="shared" si="68"/>
        <v>0.623</v>
      </c>
      <c r="V86" s="57">
        <f t="shared" si="69"/>
        <v>0.621</v>
      </c>
      <c r="Y86" s="64">
        <f t="shared" si="64"/>
        <v>1527</v>
      </c>
      <c r="Z86" s="69">
        <f t="shared" si="70"/>
        <v>1451</v>
      </c>
      <c r="AA86" s="80">
        <f t="shared" si="109"/>
        <v>1018</v>
      </c>
      <c r="AB86" s="64">
        <f t="shared" si="110"/>
        <v>1006</v>
      </c>
      <c r="AC86" s="55">
        <f t="shared" si="71"/>
        <v>956</v>
      </c>
      <c r="AD86" s="55">
        <f t="shared" si="72"/>
        <v>912</v>
      </c>
      <c r="AE86" s="55">
        <f t="shared" si="73"/>
        <v>904</v>
      </c>
      <c r="AF86" s="69">
        <f t="shared" si="74"/>
        <v>901</v>
      </c>
      <c r="AG86" s="9">
        <f t="shared" si="75"/>
        <v>0.70199999999999996</v>
      </c>
      <c r="AH86" s="76">
        <f t="shared" si="76"/>
        <v>0.69299999999999995</v>
      </c>
      <c r="AI86" s="56">
        <f t="shared" si="77"/>
        <v>0.65900000000000003</v>
      </c>
      <c r="AJ86" s="56">
        <f t="shared" si="78"/>
        <v>0.629</v>
      </c>
      <c r="AK86" s="56">
        <f t="shared" si="79"/>
        <v>0.623</v>
      </c>
      <c r="AL86" s="57">
        <f t="shared" si="80"/>
        <v>0.621</v>
      </c>
    </row>
    <row r="87" spans="1:38" x14ac:dyDescent="0.35">
      <c r="A87" s="250">
        <v>108</v>
      </c>
      <c r="B87" s="118">
        <v>2211</v>
      </c>
      <c r="C87">
        <v>5</v>
      </c>
      <c r="D87">
        <v>7</v>
      </c>
      <c r="E87" s="156" t="s">
        <v>101</v>
      </c>
      <c r="F87" s="157" t="s">
        <v>99</v>
      </c>
      <c r="G87" s="221" t="s">
        <v>100</v>
      </c>
      <c r="H87" s="31">
        <v>0.95</v>
      </c>
      <c r="I87" s="42">
        <f t="shared" si="108"/>
        <v>2382</v>
      </c>
      <c r="J87" s="66">
        <f t="shared" si="63"/>
        <v>2263</v>
      </c>
      <c r="K87" s="77">
        <v>2206</v>
      </c>
      <c r="L87" s="61">
        <f t="shared" si="81"/>
        <v>2288</v>
      </c>
      <c r="M87" s="43">
        <f t="shared" si="82"/>
        <v>2313</v>
      </c>
      <c r="N87" s="43">
        <f t="shared" si="83"/>
        <v>2363</v>
      </c>
      <c r="O87" s="43">
        <f t="shared" si="84"/>
        <v>2473</v>
      </c>
      <c r="P87" s="66">
        <f t="shared" si="85"/>
        <v>2654</v>
      </c>
      <c r="Q87" s="5">
        <f t="shared" si="58"/>
        <v>0.97499999999999998</v>
      </c>
      <c r="R87" s="73">
        <f t="shared" si="65"/>
        <v>1.0109999999999999</v>
      </c>
      <c r="S87" s="44">
        <f>ROUND(M87/($J87+800),3)</f>
        <v>0.755</v>
      </c>
      <c r="T87" s="44">
        <f t="shared" ref="T87:V87" si="111">ROUND(N87/($J87+800),3)</f>
        <v>0.77100000000000002</v>
      </c>
      <c r="U87" s="44">
        <f t="shared" si="111"/>
        <v>0.80700000000000005</v>
      </c>
      <c r="V87" s="450">
        <f t="shared" si="111"/>
        <v>0.86599999999999999</v>
      </c>
      <c r="Y87" s="61">
        <f t="shared" si="64"/>
        <v>2382</v>
      </c>
      <c r="Z87" s="66">
        <f t="shared" si="70"/>
        <v>2263</v>
      </c>
      <c r="AA87" s="77">
        <f t="shared" si="109"/>
        <v>2206</v>
      </c>
      <c r="AB87" s="61">
        <f t="shared" si="110"/>
        <v>2288</v>
      </c>
      <c r="AC87" s="43">
        <f t="shared" si="71"/>
        <v>2313</v>
      </c>
      <c r="AD87" s="43">
        <f t="shared" si="72"/>
        <v>2363</v>
      </c>
      <c r="AE87" s="43">
        <f t="shared" si="73"/>
        <v>2473</v>
      </c>
      <c r="AF87" s="66">
        <f t="shared" si="74"/>
        <v>2654</v>
      </c>
      <c r="AG87" s="5">
        <f t="shared" si="75"/>
        <v>0.97499999999999998</v>
      </c>
      <c r="AH87" s="73">
        <f t="shared" si="76"/>
        <v>1.0109999999999999</v>
      </c>
      <c r="AI87" s="44">
        <f>ROUND(AC87/($Z87+800),3)</f>
        <v>0.755</v>
      </c>
      <c r="AJ87" s="44">
        <f t="shared" ref="AJ87:AL87" si="112">ROUND(AD87/($Z87+800),3)</f>
        <v>0.77100000000000002</v>
      </c>
      <c r="AK87" s="44">
        <f t="shared" si="112"/>
        <v>0.80700000000000005</v>
      </c>
      <c r="AL87" s="45">
        <f t="shared" si="112"/>
        <v>0.86599999999999999</v>
      </c>
    </row>
    <row r="88" spans="1:38" x14ac:dyDescent="0.35">
      <c r="A88" s="250">
        <v>43</v>
      </c>
      <c r="B88" s="118">
        <v>3011</v>
      </c>
      <c r="C88">
        <v>4</v>
      </c>
      <c r="D88">
        <v>7</v>
      </c>
      <c r="E88" s="158" t="s">
        <v>102</v>
      </c>
      <c r="F88" s="159" t="s">
        <v>99</v>
      </c>
      <c r="G88" s="220" t="s">
        <v>103</v>
      </c>
      <c r="H88" s="34">
        <v>0.95</v>
      </c>
      <c r="I88" s="42">
        <f t="shared" si="108"/>
        <v>2278</v>
      </c>
      <c r="J88" s="66">
        <f t="shared" si="63"/>
        <v>2164</v>
      </c>
      <c r="K88" s="77">
        <v>1329</v>
      </c>
      <c r="L88" s="61">
        <f t="shared" si="81"/>
        <v>1311</v>
      </c>
      <c r="M88" s="43">
        <f t="shared" si="82"/>
        <v>1333</v>
      </c>
      <c r="N88" s="43">
        <f t="shared" si="83"/>
        <v>1396</v>
      </c>
      <c r="O88" s="43">
        <f t="shared" si="84"/>
        <v>1434</v>
      </c>
      <c r="P88" s="66">
        <f t="shared" si="85"/>
        <v>1509</v>
      </c>
      <c r="Q88" s="5">
        <f t="shared" si="58"/>
        <v>0.61399999999999999</v>
      </c>
      <c r="R88" s="73">
        <f t="shared" si="65"/>
        <v>0.60599999999999998</v>
      </c>
      <c r="S88" s="44">
        <f t="shared" si="66"/>
        <v>0.61599999999999999</v>
      </c>
      <c r="T88" s="44">
        <f t="shared" si="67"/>
        <v>0.64500000000000002</v>
      </c>
      <c r="U88" s="44">
        <f t="shared" si="68"/>
        <v>0.66300000000000003</v>
      </c>
      <c r="V88" s="450">
        <f t="shared" si="69"/>
        <v>0.69699999999999995</v>
      </c>
      <c r="Y88" s="61">
        <f t="shared" si="64"/>
        <v>2053</v>
      </c>
      <c r="Z88" s="66">
        <f t="shared" si="70"/>
        <v>1950</v>
      </c>
      <c r="AA88" s="77">
        <f t="shared" si="109"/>
        <v>1329</v>
      </c>
      <c r="AB88" s="61">
        <f t="shared" si="110"/>
        <v>1311</v>
      </c>
      <c r="AC88" s="43">
        <f t="shared" si="71"/>
        <v>1333</v>
      </c>
      <c r="AD88" s="43">
        <f t="shared" si="72"/>
        <v>1396</v>
      </c>
      <c r="AE88" s="43">
        <f t="shared" si="73"/>
        <v>1434</v>
      </c>
      <c r="AF88" s="66">
        <f t="shared" si="74"/>
        <v>1509</v>
      </c>
      <c r="AG88" s="5">
        <f t="shared" si="75"/>
        <v>0.68200000000000005</v>
      </c>
      <c r="AH88" s="73">
        <f t="shared" si="76"/>
        <v>0.67200000000000004</v>
      </c>
      <c r="AI88" s="44">
        <f t="shared" si="77"/>
        <v>0.68400000000000005</v>
      </c>
      <c r="AJ88" s="44">
        <f t="shared" si="78"/>
        <v>0.71599999999999997</v>
      </c>
      <c r="AK88" s="44">
        <f t="shared" si="79"/>
        <v>0.73499999999999999</v>
      </c>
      <c r="AL88" s="45">
        <f t="shared" si="80"/>
        <v>0.77400000000000002</v>
      </c>
    </row>
    <row r="89" spans="1:38" x14ac:dyDescent="0.35">
      <c r="A89" s="251">
        <v>125</v>
      </c>
      <c r="B89" s="118">
        <v>2311</v>
      </c>
      <c r="C89">
        <v>3</v>
      </c>
      <c r="D89">
        <v>7</v>
      </c>
      <c r="E89" s="156" t="s">
        <v>104</v>
      </c>
      <c r="F89" s="157" t="s">
        <v>99</v>
      </c>
      <c r="G89" s="221" t="s">
        <v>100</v>
      </c>
      <c r="H89" s="31">
        <v>0.95</v>
      </c>
      <c r="I89" s="131">
        <f t="shared" si="108"/>
        <v>2436</v>
      </c>
      <c r="J89" s="66">
        <f t="shared" si="63"/>
        <v>2314</v>
      </c>
      <c r="K89" s="77">
        <v>1865</v>
      </c>
      <c r="L89" s="432">
        <f t="shared" si="81"/>
        <v>1849</v>
      </c>
      <c r="M89" s="43">
        <f t="shared" si="82"/>
        <v>1874</v>
      </c>
      <c r="N89" s="43">
        <f t="shared" si="83"/>
        <v>1899</v>
      </c>
      <c r="O89" s="43">
        <f t="shared" si="84"/>
        <v>1924</v>
      </c>
      <c r="P89" s="66">
        <f t="shared" si="85"/>
        <v>1949</v>
      </c>
      <c r="Q89" s="5">
        <f t="shared" si="58"/>
        <v>0.80600000000000005</v>
      </c>
      <c r="R89" s="73">
        <f t="shared" si="65"/>
        <v>0.79900000000000004</v>
      </c>
      <c r="S89" s="44">
        <f t="shared" si="66"/>
        <v>0.81</v>
      </c>
      <c r="T89" s="44">
        <f t="shared" si="67"/>
        <v>0.82099999999999995</v>
      </c>
      <c r="U89" s="44">
        <f t="shared" si="68"/>
        <v>0.83099999999999996</v>
      </c>
      <c r="V89" s="450">
        <f t="shared" si="69"/>
        <v>0.84199999999999997</v>
      </c>
      <c r="Y89" s="439">
        <f t="shared" si="64"/>
        <v>2436</v>
      </c>
      <c r="Z89" s="66">
        <f t="shared" si="70"/>
        <v>2314</v>
      </c>
      <c r="AA89" s="77">
        <f t="shared" si="109"/>
        <v>1865</v>
      </c>
      <c r="AB89" s="61">
        <f t="shared" si="110"/>
        <v>1849</v>
      </c>
      <c r="AC89" s="43">
        <f t="shared" si="71"/>
        <v>1874</v>
      </c>
      <c r="AD89" s="43">
        <f t="shared" si="72"/>
        <v>1899</v>
      </c>
      <c r="AE89" s="43">
        <f t="shared" si="73"/>
        <v>1924</v>
      </c>
      <c r="AF89" s="66">
        <f t="shared" si="74"/>
        <v>1949</v>
      </c>
      <c r="AG89" s="5">
        <f t="shared" si="75"/>
        <v>0.80600000000000005</v>
      </c>
      <c r="AH89" s="73">
        <f t="shared" si="76"/>
        <v>0.79900000000000004</v>
      </c>
      <c r="AI89" s="44">
        <f t="shared" si="77"/>
        <v>0.81</v>
      </c>
      <c r="AJ89" s="44">
        <f t="shared" si="78"/>
        <v>0.82099999999999995</v>
      </c>
      <c r="AK89" s="44">
        <f t="shared" si="79"/>
        <v>0.83099999999999996</v>
      </c>
      <c r="AL89" s="45">
        <f t="shared" si="80"/>
        <v>0.84199999999999997</v>
      </c>
    </row>
    <row r="90" spans="1:38" x14ac:dyDescent="0.35">
      <c r="A90" s="250">
        <v>28</v>
      </c>
      <c r="B90" s="118">
        <v>2011</v>
      </c>
      <c r="C90">
        <v>5</v>
      </c>
      <c r="D90">
        <v>7</v>
      </c>
      <c r="E90" s="156" t="s">
        <v>105</v>
      </c>
      <c r="F90" s="157" t="s">
        <v>99</v>
      </c>
      <c r="G90" s="221" t="s">
        <v>100</v>
      </c>
      <c r="H90" s="31">
        <v>0.95</v>
      </c>
      <c r="I90" s="42">
        <f t="shared" si="108"/>
        <v>2494</v>
      </c>
      <c r="J90" s="66">
        <f>ROUND(H90*I90,0)+1</f>
        <v>2370</v>
      </c>
      <c r="K90" s="77">
        <v>2246</v>
      </c>
      <c r="L90" s="61">
        <f t="shared" si="81"/>
        <v>2247</v>
      </c>
      <c r="M90" s="43">
        <f t="shared" si="82"/>
        <v>2225</v>
      </c>
      <c r="N90" s="43">
        <f t="shared" si="83"/>
        <v>2222</v>
      </c>
      <c r="O90" s="43">
        <f t="shared" si="84"/>
        <v>2245</v>
      </c>
      <c r="P90" s="66">
        <f t="shared" si="85"/>
        <v>2210</v>
      </c>
      <c r="Q90" s="5">
        <f t="shared" si="58"/>
        <v>0.94799999999999995</v>
      </c>
      <c r="R90" s="73">
        <f t="shared" si="65"/>
        <v>0.94799999999999995</v>
      </c>
      <c r="S90" s="44">
        <f t="shared" si="66"/>
        <v>0.93899999999999995</v>
      </c>
      <c r="T90" s="44">
        <f t="shared" si="67"/>
        <v>0.93799999999999994</v>
      </c>
      <c r="U90" s="44">
        <f t="shared" si="68"/>
        <v>0.94699999999999995</v>
      </c>
      <c r="V90" s="450">
        <f t="shared" si="69"/>
        <v>0.93200000000000005</v>
      </c>
      <c r="Y90" s="61">
        <f t="shared" si="64"/>
        <v>2444</v>
      </c>
      <c r="Z90" s="66">
        <f t="shared" si="70"/>
        <v>2322</v>
      </c>
      <c r="AA90" s="77">
        <f t="shared" si="109"/>
        <v>2246</v>
      </c>
      <c r="AB90" s="61">
        <f t="shared" si="110"/>
        <v>2247</v>
      </c>
      <c r="AC90" s="43">
        <f t="shared" si="71"/>
        <v>2225</v>
      </c>
      <c r="AD90" s="43">
        <f t="shared" si="72"/>
        <v>2222</v>
      </c>
      <c r="AE90" s="43">
        <f t="shared" si="73"/>
        <v>2245</v>
      </c>
      <c r="AF90" s="66">
        <f t="shared" si="74"/>
        <v>2210</v>
      </c>
      <c r="AG90" s="5">
        <f t="shared" si="75"/>
        <v>0.96699999999999997</v>
      </c>
      <c r="AH90" s="73">
        <f t="shared" si="76"/>
        <v>0.96799999999999997</v>
      </c>
      <c r="AI90" s="44">
        <f t="shared" si="77"/>
        <v>0.95799999999999996</v>
      </c>
      <c r="AJ90" s="44">
        <f t="shared" si="78"/>
        <v>0.95699999999999996</v>
      </c>
      <c r="AK90" s="44">
        <f t="shared" si="79"/>
        <v>0.96699999999999997</v>
      </c>
      <c r="AL90" s="45">
        <f t="shared" si="80"/>
        <v>0.95199999999999996</v>
      </c>
    </row>
    <row r="91" spans="1:38" x14ac:dyDescent="0.35">
      <c r="A91" s="250">
        <v>54</v>
      </c>
      <c r="B91" s="118">
        <v>4011</v>
      </c>
      <c r="C91">
        <v>2</v>
      </c>
      <c r="D91">
        <v>7</v>
      </c>
      <c r="E91" s="158" t="s">
        <v>106</v>
      </c>
      <c r="F91" s="159" t="s">
        <v>99</v>
      </c>
      <c r="G91" s="220" t="s">
        <v>103</v>
      </c>
      <c r="H91" s="34">
        <v>0.95</v>
      </c>
      <c r="I91" s="42">
        <f t="shared" si="108"/>
        <v>2069</v>
      </c>
      <c r="J91" s="66">
        <f t="shared" si="63"/>
        <v>1966</v>
      </c>
      <c r="K91" s="77">
        <v>1299</v>
      </c>
      <c r="L91" s="61">
        <f t="shared" si="81"/>
        <v>1287</v>
      </c>
      <c r="M91" s="43">
        <f t="shared" si="82"/>
        <v>1291</v>
      </c>
      <c r="N91" s="43">
        <f t="shared" si="83"/>
        <v>1201</v>
      </c>
      <c r="O91" s="43">
        <f t="shared" si="84"/>
        <v>1162</v>
      </c>
      <c r="P91" s="66">
        <f t="shared" si="85"/>
        <v>1155</v>
      </c>
      <c r="Q91" s="5">
        <f t="shared" si="58"/>
        <v>0.66100000000000003</v>
      </c>
      <c r="R91" s="73">
        <f t="shared" si="65"/>
        <v>0.65500000000000003</v>
      </c>
      <c r="S91" s="44">
        <f t="shared" si="66"/>
        <v>0.65700000000000003</v>
      </c>
      <c r="T91" s="44">
        <f t="shared" si="67"/>
        <v>0.61099999999999999</v>
      </c>
      <c r="U91" s="44">
        <f t="shared" si="68"/>
        <v>0.59099999999999997</v>
      </c>
      <c r="V91" s="450">
        <f t="shared" si="69"/>
        <v>0.58699999999999997</v>
      </c>
      <c r="Y91" s="61">
        <f t="shared" si="64"/>
        <v>1944</v>
      </c>
      <c r="Z91" s="66">
        <f t="shared" si="70"/>
        <v>1847</v>
      </c>
      <c r="AA91" s="77">
        <f t="shared" si="109"/>
        <v>1299</v>
      </c>
      <c r="AB91" s="61">
        <f t="shared" si="110"/>
        <v>1287</v>
      </c>
      <c r="AC91" s="43">
        <f t="shared" si="71"/>
        <v>1291</v>
      </c>
      <c r="AD91" s="43">
        <f t="shared" si="72"/>
        <v>1201</v>
      </c>
      <c r="AE91" s="43">
        <f t="shared" si="73"/>
        <v>1162</v>
      </c>
      <c r="AF91" s="66">
        <f t="shared" si="74"/>
        <v>1155</v>
      </c>
      <c r="AG91" s="5">
        <f t="shared" si="75"/>
        <v>0.70299999999999996</v>
      </c>
      <c r="AH91" s="73">
        <f t="shared" si="76"/>
        <v>0.69699999999999995</v>
      </c>
      <c r="AI91" s="44">
        <f t="shared" si="77"/>
        <v>0.69899999999999995</v>
      </c>
      <c r="AJ91" s="44">
        <f t="shared" si="78"/>
        <v>0.65</v>
      </c>
      <c r="AK91" s="44">
        <f t="shared" si="79"/>
        <v>0.629</v>
      </c>
      <c r="AL91" s="45">
        <f t="shared" si="80"/>
        <v>0.625</v>
      </c>
    </row>
    <row r="92" spans="1:38" x14ac:dyDescent="0.35">
      <c r="A92" s="250">
        <v>29</v>
      </c>
      <c r="B92" s="118">
        <v>2021</v>
      </c>
      <c r="C92">
        <v>3</v>
      </c>
      <c r="D92">
        <v>7</v>
      </c>
      <c r="E92" s="156" t="s">
        <v>57</v>
      </c>
      <c r="F92" s="157" t="s">
        <v>99</v>
      </c>
      <c r="G92" s="221" t="s">
        <v>103</v>
      </c>
      <c r="H92" s="31">
        <v>0.95</v>
      </c>
      <c r="I92" s="42">
        <f t="shared" si="108"/>
        <v>2631</v>
      </c>
      <c r="J92" s="66">
        <f t="shared" si="63"/>
        <v>2499</v>
      </c>
      <c r="K92" s="77">
        <v>1296</v>
      </c>
      <c r="L92" s="61">
        <f t="shared" si="81"/>
        <v>1291</v>
      </c>
      <c r="M92" s="43">
        <f t="shared" si="82"/>
        <v>1271</v>
      </c>
      <c r="N92" s="43">
        <f t="shared" si="83"/>
        <v>1281</v>
      </c>
      <c r="O92" s="43">
        <f t="shared" si="84"/>
        <v>1344</v>
      </c>
      <c r="P92" s="66">
        <f t="shared" si="85"/>
        <v>1384</v>
      </c>
      <c r="Q92" s="5">
        <f t="shared" si="58"/>
        <v>0.51900000000000002</v>
      </c>
      <c r="R92" s="73">
        <f t="shared" si="65"/>
        <v>0.51700000000000002</v>
      </c>
      <c r="S92" s="44">
        <f t="shared" si="66"/>
        <v>0.50900000000000001</v>
      </c>
      <c r="T92" s="44">
        <f t="shared" si="67"/>
        <v>0.51300000000000001</v>
      </c>
      <c r="U92" s="44">
        <f t="shared" si="68"/>
        <v>0.53800000000000003</v>
      </c>
      <c r="V92" s="450">
        <f t="shared" si="69"/>
        <v>0.55400000000000005</v>
      </c>
      <c r="Y92" s="61">
        <f t="shared" si="64"/>
        <v>2606</v>
      </c>
      <c r="Z92" s="66">
        <f t="shared" si="70"/>
        <v>2476</v>
      </c>
      <c r="AA92" s="77">
        <f t="shared" si="109"/>
        <v>1296</v>
      </c>
      <c r="AB92" s="61">
        <f t="shared" si="110"/>
        <v>1291</v>
      </c>
      <c r="AC92" s="43">
        <f t="shared" si="71"/>
        <v>1271</v>
      </c>
      <c r="AD92" s="43">
        <f t="shared" si="72"/>
        <v>1281</v>
      </c>
      <c r="AE92" s="43">
        <f t="shared" si="73"/>
        <v>1344</v>
      </c>
      <c r="AF92" s="66">
        <f t="shared" si="74"/>
        <v>1384</v>
      </c>
      <c r="AG92" s="5">
        <f t="shared" si="75"/>
        <v>0.52300000000000002</v>
      </c>
      <c r="AH92" s="73">
        <f t="shared" si="76"/>
        <v>0.52100000000000002</v>
      </c>
      <c r="AI92" s="44">
        <f t="shared" si="77"/>
        <v>0.51300000000000001</v>
      </c>
      <c r="AJ92" s="44">
        <f t="shared" si="78"/>
        <v>0.51700000000000002</v>
      </c>
      <c r="AK92" s="44">
        <f t="shared" si="79"/>
        <v>0.54300000000000004</v>
      </c>
      <c r="AL92" s="45">
        <f t="shared" si="80"/>
        <v>0.55900000000000005</v>
      </c>
    </row>
    <row r="93" spans="1:38" x14ac:dyDescent="0.35">
      <c r="A93" s="250">
        <v>16</v>
      </c>
      <c r="B93" s="118">
        <v>1011</v>
      </c>
      <c r="C93">
        <v>4</v>
      </c>
      <c r="D93">
        <v>7</v>
      </c>
      <c r="E93" s="158" t="s">
        <v>107</v>
      </c>
      <c r="F93" s="159" t="s">
        <v>99</v>
      </c>
      <c r="G93" s="220" t="s">
        <v>100</v>
      </c>
      <c r="H93" s="34">
        <v>0.95</v>
      </c>
      <c r="I93" s="42">
        <f t="shared" si="108"/>
        <v>1933</v>
      </c>
      <c r="J93" s="66">
        <f t="shared" si="63"/>
        <v>1836</v>
      </c>
      <c r="K93" s="77">
        <v>1533</v>
      </c>
      <c r="L93" s="61">
        <f t="shared" si="81"/>
        <v>1529</v>
      </c>
      <c r="M93" s="43">
        <f t="shared" si="82"/>
        <v>1470</v>
      </c>
      <c r="N93" s="43">
        <f t="shared" si="83"/>
        <v>1437</v>
      </c>
      <c r="O93" s="43">
        <f t="shared" si="84"/>
        <v>1438</v>
      </c>
      <c r="P93" s="66">
        <f t="shared" si="85"/>
        <v>1437</v>
      </c>
      <c r="Q93" s="5">
        <f t="shared" si="58"/>
        <v>0.83499999999999996</v>
      </c>
      <c r="R93" s="73">
        <f t="shared" si="65"/>
        <v>0.83299999999999996</v>
      </c>
      <c r="S93" s="44">
        <f t="shared" si="66"/>
        <v>0.80100000000000005</v>
      </c>
      <c r="T93" s="44">
        <f t="shared" si="67"/>
        <v>0.78300000000000003</v>
      </c>
      <c r="U93" s="44">
        <f t="shared" si="68"/>
        <v>0.78300000000000003</v>
      </c>
      <c r="V93" s="450">
        <f t="shared" si="69"/>
        <v>0.78300000000000003</v>
      </c>
      <c r="Y93" s="61">
        <f t="shared" si="64"/>
        <v>1858</v>
      </c>
      <c r="Z93" s="66">
        <f t="shared" si="70"/>
        <v>1765</v>
      </c>
      <c r="AA93" s="77">
        <f t="shared" si="109"/>
        <v>1533</v>
      </c>
      <c r="AB93" s="61">
        <f t="shared" si="110"/>
        <v>1529</v>
      </c>
      <c r="AC93" s="43">
        <f t="shared" si="71"/>
        <v>1470</v>
      </c>
      <c r="AD93" s="43">
        <f t="shared" si="72"/>
        <v>1437</v>
      </c>
      <c r="AE93" s="43">
        <f t="shared" si="73"/>
        <v>1438</v>
      </c>
      <c r="AF93" s="66">
        <f t="shared" si="74"/>
        <v>1437</v>
      </c>
      <c r="AG93" s="5">
        <f t="shared" si="75"/>
        <v>0.86899999999999999</v>
      </c>
      <c r="AH93" s="73">
        <f t="shared" si="76"/>
        <v>0.86599999999999999</v>
      </c>
      <c r="AI93" s="44">
        <f t="shared" si="77"/>
        <v>0.83299999999999996</v>
      </c>
      <c r="AJ93" s="44">
        <f t="shared" si="78"/>
        <v>0.81399999999999995</v>
      </c>
      <c r="AK93" s="44">
        <f t="shared" si="79"/>
        <v>0.81499999999999995</v>
      </c>
      <c r="AL93" s="45">
        <f t="shared" si="80"/>
        <v>0.81399999999999995</v>
      </c>
    </row>
    <row r="94" spans="1:38" x14ac:dyDescent="0.35">
      <c r="A94" s="250">
        <v>66</v>
      </c>
      <c r="B94" s="118">
        <v>6011</v>
      </c>
      <c r="C94">
        <v>3</v>
      </c>
      <c r="D94">
        <v>7</v>
      </c>
      <c r="E94" s="158" t="s">
        <v>108</v>
      </c>
      <c r="F94" s="159" t="s">
        <v>99</v>
      </c>
      <c r="G94" s="220" t="s">
        <v>103</v>
      </c>
      <c r="H94" s="34">
        <v>0.95</v>
      </c>
      <c r="I94" s="42">
        <f t="shared" si="108"/>
        <v>1632</v>
      </c>
      <c r="J94" s="66">
        <v>1551</v>
      </c>
      <c r="K94" s="77">
        <v>1460</v>
      </c>
      <c r="L94" s="61">
        <f t="shared" si="81"/>
        <v>1408</v>
      </c>
      <c r="M94" s="43">
        <f t="shared" si="82"/>
        <v>1308</v>
      </c>
      <c r="N94" s="43">
        <f t="shared" si="83"/>
        <v>1286</v>
      </c>
      <c r="O94" s="43">
        <f t="shared" si="84"/>
        <v>1203</v>
      </c>
      <c r="P94" s="66">
        <f t="shared" si="85"/>
        <v>1166</v>
      </c>
      <c r="Q94" s="5">
        <f t="shared" si="58"/>
        <v>0.94099999999999995</v>
      </c>
      <c r="R94" s="73">
        <f t="shared" si="65"/>
        <v>0.90800000000000003</v>
      </c>
      <c r="S94" s="44">
        <f t="shared" si="66"/>
        <v>0.84299999999999997</v>
      </c>
      <c r="T94" s="44">
        <f t="shared" si="67"/>
        <v>0.82899999999999996</v>
      </c>
      <c r="U94" s="44">
        <f t="shared" si="68"/>
        <v>0.77600000000000002</v>
      </c>
      <c r="V94" s="450">
        <f t="shared" si="69"/>
        <v>0.752</v>
      </c>
      <c r="Y94" s="61">
        <f t="shared" si="64"/>
        <v>1582</v>
      </c>
      <c r="Z94" s="66">
        <f t="shared" si="70"/>
        <v>1503</v>
      </c>
      <c r="AA94" s="77">
        <f t="shared" si="109"/>
        <v>1460</v>
      </c>
      <c r="AB94" s="61">
        <f t="shared" si="110"/>
        <v>1408</v>
      </c>
      <c r="AC94" s="43">
        <f t="shared" si="71"/>
        <v>1308</v>
      </c>
      <c r="AD94" s="43">
        <f t="shared" si="72"/>
        <v>1286</v>
      </c>
      <c r="AE94" s="43">
        <f t="shared" si="73"/>
        <v>1203</v>
      </c>
      <c r="AF94" s="66">
        <f t="shared" si="74"/>
        <v>1166</v>
      </c>
      <c r="AG94" s="5">
        <f t="shared" si="75"/>
        <v>0.97099999999999997</v>
      </c>
      <c r="AH94" s="73">
        <f t="shared" si="76"/>
        <v>0.93700000000000006</v>
      </c>
      <c r="AI94" s="44">
        <f t="shared" si="77"/>
        <v>0.87</v>
      </c>
      <c r="AJ94" s="44">
        <f t="shared" si="78"/>
        <v>0.85599999999999998</v>
      </c>
      <c r="AK94" s="44">
        <f t="shared" si="79"/>
        <v>0.8</v>
      </c>
      <c r="AL94" s="45">
        <f t="shared" si="80"/>
        <v>0.77600000000000002</v>
      </c>
    </row>
    <row r="95" spans="1:38" x14ac:dyDescent="0.35">
      <c r="A95" s="250">
        <v>1</v>
      </c>
      <c r="B95" s="118">
        <v>11</v>
      </c>
      <c r="C95">
        <v>1</v>
      </c>
      <c r="D95">
        <v>7</v>
      </c>
      <c r="E95" s="158" t="s">
        <v>109</v>
      </c>
      <c r="F95" s="159" t="s">
        <v>99</v>
      </c>
      <c r="G95" s="220" t="s">
        <v>100</v>
      </c>
      <c r="H95" s="34">
        <v>0.95</v>
      </c>
      <c r="I95" s="42">
        <f t="shared" si="108"/>
        <v>1896</v>
      </c>
      <c r="J95" s="66">
        <f t="shared" si="63"/>
        <v>1801</v>
      </c>
      <c r="K95" s="77">
        <v>1306</v>
      </c>
      <c r="L95" s="61">
        <f t="shared" si="81"/>
        <v>1300</v>
      </c>
      <c r="M95" s="43">
        <f t="shared" si="82"/>
        <v>1208</v>
      </c>
      <c r="N95" s="43">
        <f t="shared" si="83"/>
        <v>1180</v>
      </c>
      <c r="O95" s="43">
        <f t="shared" si="84"/>
        <v>1150</v>
      </c>
      <c r="P95" s="66">
        <f t="shared" si="85"/>
        <v>1128</v>
      </c>
      <c r="Q95" s="5">
        <f t="shared" si="58"/>
        <v>0.72499999999999998</v>
      </c>
      <c r="R95" s="73">
        <f t="shared" si="65"/>
        <v>0.72199999999999998</v>
      </c>
      <c r="S95" s="44">
        <f t="shared" si="66"/>
        <v>0.67100000000000004</v>
      </c>
      <c r="T95" s="44">
        <f t="shared" si="67"/>
        <v>0.65500000000000003</v>
      </c>
      <c r="U95" s="44">
        <f t="shared" si="68"/>
        <v>0.63900000000000001</v>
      </c>
      <c r="V95" s="450">
        <f t="shared" si="69"/>
        <v>0.626</v>
      </c>
      <c r="Y95" s="61">
        <f t="shared" si="64"/>
        <v>1896</v>
      </c>
      <c r="Z95" s="66">
        <f t="shared" si="70"/>
        <v>1801</v>
      </c>
      <c r="AA95" s="77">
        <f t="shared" si="109"/>
        <v>1306</v>
      </c>
      <c r="AB95" s="61">
        <f t="shared" si="110"/>
        <v>1300</v>
      </c>
      <c r="AC95" s="43">
        <f t="shared" si="71"/>
        <v>1208</v>
      </c>
      <c r="AD95" s="43">
        <f t="shared" si="72"/>
        <v>1180</v>
      </c>
      <c r="AE95" s="43">
        <f t="shared" si="73"/>
        <v>1150</v>
      </c>
      <c r="AF95" s="66">
        <f t="shared" si="74"/>
        <v>1128</v>
      </c>
      <c r="AG95" s="5">
        <f t="shared" si="75"/>
        <v>0.72499999999999998</v>
      </c>
      <c r="AH95" s="73">
        <f t="shared" si="76"/>
        <v>0.72199999999999998</v>
      </c>
      <c r="AI95" s="44">
        <f t="shared" si="77"/>
        <v>0.67100000000000004</v>
      </c>
      <c r="AJ95" s="44">
        <f t="shared" si="78"/>
        <v>0.65500000000000003</v>
      </c>
      <c r="AK95" s="44">
        <f t="shared" si="79"/>
        <v>0.63900000000000001</v>
      </c>
      <c r="AL95" s="45">
        <f t="shared" si="80"/>
        <v>0.626</v>
      </c>
    </row>
    <row r="96" spans="1:38" ht="15" thickBot="1" x14ac:dyDescent="0.4">
      <c r="A96" s="251">
        <v>115</v>
      </c>
      <c r="B96" s="118">
        <v>1171</v>
      </c>
      <c r="C96">
        <v>4</v>
      </c>
      <c r="D96">
        <v>7</v>
      </c>
      <c r="E96" s="160" t="s">
        <v>110</v>
      </c>
      <c r="F96" s="161" t="s">
        <v>99</v>
      </c>
      <c r="G96" s="227" t="s">
        <v>103</v>
      </c>
      <c r="H96" s="10">
        <v>0.95</v>
      </c>
      <c r="I96" s="50">
        <f t="shared" si="108"/>
        <v>2590</v>
      </c>
      <c r="J96" s="70">
        <f>ROUND(H96*I96,0)</f>
        <v>2461</v>
      </c>
      <c r="K96" s="71">
        <v>2275</v>
      </c>
      <c r="L96" s="435">
        <f t="shared" si="81"/>
        <v>2255</v>
      </c>
      <c r="M96" s="51">
        <f t="shared" si="82"/>
        <v>2224</v>
      </c>
      <c r="N96" s="51">
        <f t="shared" si="83"/>
        <v>2234</v>
      </c>
      <c r="O96" s="51">
        <f t="shared" si="84"/>
        <v>2222</v>
      </c>
      <c r="P96" s="70">
        <f t="shared" si="85"/>
        <v>2148</v>
      </c>
      <c r="Q96" s="11">
        <f t="shared" si="58"/>
        <v>0.92400000000000004</v>
      </c>
      <c r="R96" s="72">
        <f t="shared" si="65"/>
        <v>0.91600000000000004</v>
      </c>
      <c r="S96" s="52">
        <f t="shared" si="66"/>
        <v>0.90400000000000003</v>
      </c>
      <c r="T96" s="52">
        <f t="shared" si="67"/>
        <v>0.90800000000000003</v>
      </c>
      <c r="U96" s="52">
        <f t="shared" si="68"/>
        <v>0.90300000000000002</v>
      </c>
      <c r="V96" s="53">
        <f t="shared" si="69"/>
        <v>0.873</v>
      </c>
      <c r="Y96" s="65">
        <f t="shared" si="64"/>
        <v>2590</v>
      </c>
      <c r="Z96" s="70">
        <f t="shared" si="70"/>
        <v>2461</v>
      </c>
      <c r="AA96" s="71">
        <f t="shared" si="109"/>
        <v>2275</v>
      </c>
      <c r="AB96" s="65">
        <f t="shared" si="110"/>
        <v>2255</v>
      </c>
      <c r="AC96" s="51">
        <f t="shared" si="71"/>
        <v>2224</v>
      </c>
      <c r="AD96" s="51">
        <f t="shared" si="72"/>
        <v>2234</v>
      </c>
      <c r="AE96" s="51">
        <f t="shared" si="73"/>
        <v>2222</v>
      </c>
      <c r="AF96" s="70">
        <f t="shared" si="74"/>
        <v>2148</v>
      </c>
      <c r="AG96" s="11">
        <f t="shared" si="75"/>
        <v>0.92400000000000004</v>
      </c>
      <c r="AH96" s="72">
        <f t="shared" si="76"/>
        <v>0.91600000000000004</v>
      </c>
      <c r="AI96" s="52">
        <f>ROUND(AC96/2464,3)</f>
        <v>0.90300000000000002</v>
      </c>
      <c r="AJ96" s="52">
        <f>ROUND(AD96/2464,3)</f>
        <v>0.90700000000000003</v>
      </c>
      <c r="AK96" s="52">
        <f>ROUND(AE96/2464,3)</f>
        <v>0.90200000000000002</v>
      </c>
      <c r="AL96" s="53">
        <f>ROUND(AF96/2464,3)</f>
        <v>0.872</v>
      </c>
    </row>
    <row r="97" spans="1:38" x14ac:dyDescent="0.35">
      <c r="E97" s="228"/>
      <c r="F97" s="163"/>
      <c r="G97" s="228"/>
      <c r="H97" s="163"/>
      <c r="V97" s="192"/>
    </row>
    <row r="98" spans="1:38" ht="15" thickBot="1" x14ac:dyDescent="0.4">
      <c r="E98" s="164"/>
      <c r="F98" s="165"/>
      <c r="G98" s="166"/>
      <c r="H98" s="15"/>
      <c r="V98" s="192"/>
    </row>
    <row r="99" spans="1:38" ht="15" customHeight="1" x14ac:dyDescent="0.35">
      <c r="E99" s="676" t="s">
        <v>111</v>
      </c>
      <c r="F99" s="167" t="s">
        <v>19</v>
      </c>
      <c r="G99" s="168"/>
      <c r="H99" s="169"/>
      <c r="I99" s="16">
        <f t="shared" ref="I99:P99" si="113">SUMIF($D$8:$D$96,4,I$8:I$96)</f>
        <v>44362</v>
      </c>
      <c r="J99" s="17">
        <f t="shared" si="113"/>
        <v>44362</v>
      </c>
      <c r="K99" s="16">
        <f t="shared" si="113"/>
        <v>31076</v>
      </c>
      <c r="L99" s="16">
        <f t="shared" si="113"/>
        <v>30475</v>
      </c>
      <c r="M99" s="18">
        <f t="shared" si="113"/>
        <v>30256</v>
      </c>
      <c r="N99" s="18">
        <f t="shared" si="113"/>
        <v>29851</v>
      </c>
      <c r="O99" s="18">
        <f t="shared" si="113"/>
        <v>29685</v>
      </c>
      <c r="P99" s="19">
        <f t="shared" si="113"/>
        <v>29422</v>
      </c>
      <c r="Q99" s="1">
        <f t="shared" ref="Q99:Q102" si="114">ROUND(K99/$J99,3)</f>
        <v>0.70099999999999996</v>
      </c>
      <c r="R99" s="2">
        <f t="shared" ref="R99:R102" si="115">ROUND(L99/$J99,3)</f>
        <v>0.68700000000000006</v>
      </c>
      <c r="S99" s="3">
        <f t="shared" ref="S99:S102" si="116">ROUND(M99/$J99,3)</f>
        <v>0.68200000000000005</v>
      </c>
      <c r="T99" s="3">
        <f t="shared" ref="T99:T102" si="117">ROUND(N99/$J99,3)</f>
        <v>0.67300000000000004</v>
      </c>
      <c r="U99" s="3">
        <f t="shared" ref="U99:U102" si="118">ROUND(O99/$J99,3)</f>
        <v>0.66900000000000004</v>
      </c>
      <c r="V99" s="4">
        <f t="shared" ref="V99:V102" si="119">ROUND(P99/$J99,3)</f>
        <v>0.66300000000000003</v>
      </c>
      <c r="Y99" s="442">
        <f t="shared" ref="Y99:AF99" si="120">SUMIF($D$8:$D$97,4,Y$8:Y$97)</f>
        <v>41140</v>
      </c>
      <c r="Z99" s="17">
        <f t="shared" si="120"/>
        <v>41140</v>
      </c>
      <c r="AA99" s="16">
        <f t="shared" si="120"/>
        <v>31076</v>
      </c>
      <c r="AB99" s="16">
        <f t="shared" si="120"/>
        <v>30475</v>
      </c>
      <c r="AC99" s="18">
        <f t="shared" si="120"/>
        <v>30256</v>
      </c>
      <c r="AD99" s="18">
        <f t="shared" si="120"/>
        <v>29851</v>
      </c>
      <c r="AE99" s="18">
        <f t="shared" si="120"/>
        <v>29685</v>
      </c>
      <c r="AF99" s="19">
        <f t="shared" si="120"/>
        <v>29422</v>
      </c>
      <c r="AG99" s="1">
        <f>ROUND(AA99/$Z99,3)</f>
        <v>0.755</v>
      </c>
      <c r="AH99" s="2">
        <f>ROUND(AB99/$Z99,3)</f>
        <v>0.74099999999999999</v>
      </c>
      <c r="AI99" s="3">
        <f t="shared" ref="AI99:AL102" si="121">ROUND(AC99/$Z99,3)</f>
        <v>0.73499999999999999</v>
      </c>
      <c r="AJ99" s="3">
        <f t="shared" si="121"/>
        <v>0.72599999999999998</v>
      </c>
      <c r="AK99" s="3">
        <f t="shared" si="121"/>
        <v>0.72199999999999998</v>
      </c>
      <c r="AL99" s="4">
        <f t="shared" si="121"/>
        <v>0.71499999999999997</v>
      </c>
    </row>
    <row r="100" spans="1:38" s="172" customFormat="1" x14ac:dyDescent="0.35">
      <c r="A100"/>
      <c r="B100" s="118"/>
      <c r="C100"/>
      <c r="D100"/>
      <c r="E100" s="677"/>
      <c r="F100" s="170" t="s">
        <v>78</v>
      </c>
      <c r="G100" s="171"/>
      <c r="H100" s="256"/>
      <c r="I100" s="20">
        <f>SUMIF($D$8:$D$96,5,I$8:I$96)</f>
        <v>12360</v>
      </c>
      <c r="J100" s="257">
        <f t="shared" ref="J100:P100" si="122">SUMIF($D$8:$D$96,5,J$8:J$96)</f>
        <v>11126</v>
      </c>
      <c r="K100" s="20">
        <f t="shared" si="122"/>
        <v>6847</v>
      </c>
      <c r="L100" s="20">
        <f t="shared" si="122"/>
        <v>6659</v>
      </c>
      <c r="M100" s="258">
        <f t="shared" si="122"/>
        <v>6899</v>
      </c>
      <c r="N100" s="258">
        <f t="shared" si="122"/>
        <v>7207</v>
      </c>
      <c r="O100" s="258">
        <f t="shared" si="122"/>
        <v>7167</v>
      </c>
      <c r="P100" s="259">
        <f t="shared" si="122"/>
        <v>7256</v>
      </c>
      <c r="Q100" s="5">
        <f t="shared" si="114"/>
        <v>0.61499999999999999</v>
      </c>
      <c r="R100" s="6">
        <f t="shared" si="115"/>
        <v>0.59899999999999998</v>
      </c>
      <c r="S100" s="260">
        <f t="shared" si="116"/>
        <v>0.62</v>
      </c>
      <c r="T100" s="260">
        <f t="shared" si="117"/>
        <v>0.64800000000000002</v>
      </c>
      <c r="U100" s="260">
        <f t="shared" si="118"/>
        <v>0.64400000000000002</v>
      </c>
      <c r="V100" s="261">
        <f t="shared" si="119"/>
        <v>0.65200000000000002</v>
      </c>
      <c r="W100"/>
      <c r="X100"/>
      <c r="Y100" s="443">
        <f t="shared" ref="Y100:AF100" si="123">SUMIF($D$8:$D$97,5,Y$8:Y$97)</f>
        <v>12360</v>
      </c>
      <c r="Z100" s="35">
        <f t="shared" si="123"/>
        <v>11126</v>
      </c>
      <c r="AA100" s="20">
        <f t="shared" si="123"/>
        <v>6847</v>
      </c>
      <c r="AB100" s="20">
        <f t="shared" si="123"/>
        <v>6659</v>
      </c>
      <c r="AC100" s="36">
        <f t="shared" si="123"/>
        <v>6899</v>
      </c>
      <c r="AD100" s="36">
        <f t="shared" si="123"/>
        <v>7207</v>
      </c>
      <c r="AE100" s="36">
        <f t="shared" si="123"/>
        <v>7167</v>
      </c>
      <c r="AF100" s="37">
        <f t="shared" si="123"/>
        <v>7256</v>
      </c>
      <c r="AG100" s="5">
        <f t="shared" ref="AG100:AH104" si="124">ROUND(AA100/$Z100,3)</f>
        <v>0.61499999999999999</v>
      </c>
      <c r="AH100" s="6">
        <f t="shared" si="124"/>
        <v>0.59899999999999998</v>
      </c>
      <c r="AI100" s="32">
        <f t="shared" si="121"/>
        <v>0.62</v>
      </c>
      <c r="AJ100" s="32">
        <f t="shared" si="121"/>
        <v>0.64800000000000002</v>
      </c>
      <c r="AK100" s="32">
        <f t="shared" si="121"/>
        <v>0.64400000000000002</v>
      </c>
      <c r="AL100" s="33">
        <f t="shared" si="121"/>
        <v>0.65200000000000002</v>
      </c>
    </row>
    <row r="101" spans="1:38" x14ac:dyDescent="0.35">
      <c r="E101" s="677"/>
      <c r="F101" s="173" t="s">
        <v>91</v>
      </c>
      <c r="G101" s="174"/>
      <c r="H101" s="256"/>
      <c r="I101" s="20">
        <f t="shared" ref="I101:P101" si="125">SUMIF($D$8:$D$96,6,I$8:I$96)</f>
        <v>8718</v>
      </c>
      <c r="J101" s="257">
        <f t="shared" si="125"/>
        <v>7849</v>
      </c>
      <c r="K101" s="20">
        <f t="shared" si="125"/>
        <v>5656</v>
      </c>
      <c r="L101" s="20">
        <f t="shared" si="125"/>
        <v>5529</v>
      </c>
      <c r="M101" s="258">
        <f t="shared" si="125"/>
        <v>5385</v>
      </c>
      <c r="N101" s="258">
        <f t="shared" si="125"/>
        <v>5352</v>
      </c>
      <c r="O101" s="258">
        <f t="shared" si="125"/>
        <v>5251</v>
      </c>
      <c r="P101" s="259">
        <f t="shared" si="125"/>
        <v>5233</v>
      </c>
      <c r="Q101" s="5">
        <f t="shared" si="114"/>
        <v>0.72099999999999997</v>
      </c>
      <c r="R101" s="6">
        <f t="shared" si="115"/>
        <v>0.70399999999999996</v>
      </c>
      <c r="S101" s="260">
        <f t="shared" si="116"/>
        <v>0.68600000000000005</v>
      </c>
      <c r="T101" s="260">
        <f t="shared" si="117"/>
        <v>0.68200000000000005</v>
      </c>
      <c r="U101" s="260">
        <f t="shared" si="118"/>
        <v>0.66900000000000004</v>
      </c>
      <c r="V101" s="261">
        <f t="shared" si="119"/>
        <v>0.66700000000000004</v>
      </c>
      <c r="Y101" s="443">
        <f t="shared" ref="Y101:AF101" si="126">SUMIF($D$8:$D$97,6,Y$8:Y$97)</f>
        <v>7743</v>
      </c>
      <c r="Z101" s="35">
        <f t="shared" si="126"/>
        <v>6970</v>
      </c>
      <c r="AA101" s="20">
        <f t="shared" si="126"/>
        <v>5656</v>
      </c>
      <c r="AB101" s="20">
        <f t="shared" si="126"/>
        <v>5529</v>
      </c>
      <c r="AC101" s="36">
        <f t="shared" si="126"/>
        <v>5385</v>
      </c>
      <c r="AD101" s="36">
        <f t="shared" si="126"/>
        <v>5352</v>
      </c>
      <c r="AE101" s="36">
        <f t="shared" si="126"/>
        <v>5251</v>
      </c>
      <c r="AF101" s="37">
        <f t="shared" si="126"/>
        <v>5233</v>
      </c>
      <c r="AG101" s="5">
        <f t="shared" si="124"/>
        <v>0.81100000000000005</v>
      </c>
      <c r="AH101" s="6">
        <f t="shared" si="124"/>
        <v>0.79300000000000004</v>
      </c>
      <c r="AI101" s="32">
        <f t="shared" si="121"/>
        <v>0.77300000000000002</v>
      </c>
      <c r="AJ101" s="32">
        <f t="shared" si="121"/>
        <v>0.76800000000000002</v>
      </c>
      <c r="AK101" s="32">
        <f t="shared" si="121"/>
        <v>0.753</v>
      </c>
      <c r="AL101" s="33">
        <f t="shared" si="121"/>
        <v>0.751</v>
      </c>
    </row>
    <row r="102" spans="1:38" ht="15" thickBot="1" x14ac:dyDescent="0.4">
      <c r="E102" s="678"/>
      <c r="F102" s="175" t="s">
        <v>99</v>
      </c>
      <c r="G102" s="176"/>
      <c r="H102" s="177"/>
      <c r="I102" s="21">
        <f t="shared" ref="I102:P102" si="127">SUMIF($D$8:$D$96,7,I$8:I$96)</f>
        <v>23868</v>
      </c>
      <c r="J102" s="22">
        <f t="shared" si="127"/>
        <v>22676</v>
      </c>
      <c r="K102" s="21">
        <f t="shared" si="127"/>
        <v>17833</v>
      </c>
      <c r="L102" s="21">
        <f t="shared" si="127"/>
        <v>17771</v>
      </c>
      <c r="M102" s="23">
        <f t="shared" si="127"/>
        <v>17473</v>
      </c>
      <c r="N102" s="23">
        <f t="shared" si="127"/>
        <v>17411</v>
      </c>
      <c r="O102" s="23">
        <f t="shared" si="127"/>
        <v>17499</v>
      </c>
      <c r="P102" s="24">
        <f t="shared" si="127"/>
        <v>17641</v>
      </c>
      <c r="Q102" s="11">
        <f t="shared" si="114"/>
        <v>0.78600000000000003</v>
      </c>
      <c r="R102" s="12">
        <f t="shared" si="115"/>
        <v>0.78400000000000003</v>
      </c>
      <c r="S102" s="13">
        <f t="shared" si="116"/>
        <v>0.77100000000000002</v>
      </c>
      <c r="T102" s="13">
        <f t="shared" si="117"/>
        <v>0.76800000000000002</v>
      </c>
      <c r="U102" s="13">
        <f t="shared" si="118"/>
        <v>0.77200000000000002</v>
      </c>
      <c r="V102" s="14">
        <f t="shared" si="119"/>
        <v>0.77800000000000002</v>
      </c>
      <c r="Y102" s="444">
        <f t="shared" ref="Y102:AF102" si="128">SUMIF($D$8:$D$97,7,Y$8:Y$97)</f>
        <v>23318</v>
      </c>
      <c r="Z102" s="22">
        <f t="shared" si="128"/>
        <v>22153</v>
      </c>
      <c r="AA102" s="21">
        <f t="shared" si="128"/>
        <v>17833</v>
      </c>
      <c r="AB102" s="21">
        <f t="shared" si="128"/>
        <v>17771</v>
      </c>
      <c r="AC102" s="23">
        <f t="shared" si="128"/>
        <v>17473</v>
      </c>
      <c r="AD102" s="23">
        <f t="shared" si="128"/>
        <v>17411</v>
      </c>
      <c r="AE102" s="23">
        <f t="shared" si="128"/>
        <v>17499</v>
      </c>
      <c r="AF102" s="24">
        <f t="shared" si="128"/>
        <v>17641</v>
      </c>
      <c r="AG102" s="11">
        <f t="shared" si="124"/>
        <v>0.80500000000000005</v>
      </c>
      <c r="AH102" s="12">
        <f t="shared" si="124"/>
        <v>0.80200000000000005</v>
      </c>
      <c r="AI102" s="13">
        <f t="shared" si="121"/>
        <v>0.78900000000000003</v>
      </c>
      <c r="AJ102" s="13">
        <f t="shared" si="121"/>
        <v>0.78600000000000003</v>
      </c>
      <c r="AK102" s="13">
        <f t="shared" si="121"/>
        <v>0.79</v>
      </c>
      <c r="AL102" s="14">
        <f t="shared" si="121"/>
        <v>0.79600000000000004</v>
      </c>
    </row>
    <row r="103" spans="1:38" ht="15" thickBot="1" x14ac:dyDescent="0.4">
      <c r="E103" s="229"/>
      <c r="F103" s="178"/>
      <c r="G103" s="229"/>
      <c r="H103" s="179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452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</row>
    <row r="104" spans="1:38" s="180" customFormat="1" ht="15" thickBot="1" x14ac:dyDescent="0.4">
      <c r="A104" s="230"/>
      <c r="B104" s="231"/>
      <c r="C104" s="230"/>
      <c r="D104" s="230"/>
      <c r="E104" s="232" t="s">
        <v>112</v>
      </c>
      <c r="F104" s="233"/>
      <c r="G104" s="233"/>
      <c r="H104" s="234"/>
      <c r="I104" s="235">
        <f t="shared" ref="I104:P104" si="129">SUM(I99:I102)</f>
        <v>89308</v>
      </c>
      <c r="J104" s="236">
        <f t="shared" si="129"/>
        <v>86013</v>
      </c>
      <c r="K104" s="235">
        <f t="shared" si="129"/>
        <v>61412</v>
      </c>
      <c r="L104" s="235">
        <f t="shared" si="129"/>
        <v>60434</v>
      </c>
      <c r="M104" s="237">
        <f t="shared" si="129"/>
        <v>60013</v>
      </c>
      <c r="N104" s="237">
        <f t="shared" si="129"/>
        <v>59821</v>
      </c>
      <c r="O104" s="237">
        <f t="shared" si="129"/>
        <v>59602</v>
      </c>
      <c r="P104" s="238">
        <f t="shared" si="129"/>
        <v>59552</v>
      </c>
      <c r="Q104" s="26">
        <f t="shared" ref="Q104" si="130">ROUND(K104/$J104,3)</f>
        <v>0.71399999999999997</v>
      </c>
      <c r="R104" s="27">
        <f t="shared" ref="R104" si="131">ROUND(L104/$J104,3)</f>
        <v>0.70299999999999996</v>
      </c>
      <c r="S104" s="28">
        <f t="shared" ref="S104" si="132">ROUND(M104/$J104,3)</f>
        <v>0.69799999999999995</v>
      </c>
      <c r="T104" s="28">
        <f t="shared" ref="T104" si="133">ROUND(N104/$J104,3)</f>
        <v>0.69499999999999995</v>
      </c>
      <c r="U104" s="28">
        <f t="shared" ref="U104" si="134">ROUND(O104/$J104,3)</f>
        <v>0.69299999999999995</v>
      </c>
      <c r="V104" s="29">
        <f t="shared" ref="V104" si="135">ROUND(P104/$J104,3)</f>
        <v>0.69199999999999995</v>
      </c>
      <c r="W104" s="447"/>
      <c r="Y104" s="445">
        <f t="shared" ref="Y104" si="136">SUM(Y99:Y102)</f>
        <v>84561</v>
      </c>
      <c r="Z104" s="182">
        <f t="shared" ref="Z104:AF104" si="137">SUM(Z99:Z102)</f>
        <v>81389</v>
      </c>
      <c r="AA104" s="181">
        <f t="shared" ref="AA104" si="138">SUM(AA99:AA102)</f>
        <v>61412</v>
      </c>
      <c r="AB104" s="181">
        <f t="shared" ref="AB104" si="139">SUM(AB99:AB102)</f>
        <v>60434</v>
      </c>
      <c r="AC104" s="183">
        <f t="shared" si="137"/>
        <v>60013</v>
      </c>
      <c r="AD104" s="183">
        <f t="shared" si="137"/>
        <v>59821</v>
      </c>
      <c r="AE104" s="183">
        <f t="shared" si="137"/>
        <v>59602</v>
      </c>
      <c r="AF104" s="184">
        <f t="shared" si="137"/>
        <v>59552</v>
      </c>
      <c r="AG104" s="26">
        <f t="shared" si="124"/>
        <v>0.755</v>
      </c>
      <c r="AH104" s="27">
        <f t="shared" ref="AH104" si="140">ROUND(AB104/$Z104,3)</f>
        <v>0.74299999999999999</v>
      </c>
      <c r="AI104" s="28">
        <f t="shared" ref="AI104" si="141">ROUND(AC104/$Z104,3)</f>
        <v>0.73699999999999999</v>
      </c>
      <c r="AJ104" s="28">
        <f t="shared" ref="AJ104" si="142">ROUND(AD104/$Z104,3)</f>
        <v>0.73499999999999999</v>
      </c>
      <c r="AK104" s="28">
        <f t="shared" ref="AK104" si="143">ROUND(AE104/$Z104,3)</f>
        <v>0.73199999999999998</v>
      </c>
      <c r="AL104" s="29">
        <f t="shared" ref="AL104" si="144">ROUND(AF104/$Z104,3)</f>
        <v>0.73199999999999998</v>
      </c>
    </row>
    <row r="105" spans="1:38" x14ac:dyDescent="0.35">
      <c r="E105" s="185"/>
      <c r="G105" s="162"/>
      <c r="H105" s="118"/>
      <c r="W105" s="436"/>
      <c r="Y105" s="437"/>
      <c r="Z105" s="437"/>
    </row>
    <row r="106" spans="1:38" ht="15" thickBot="1" x14ac:dyDescent="0.4">
      <c r="E106" s="186"/>
      <c r="F106" s="187"/>
      <c r="G106" s="188"/>
      <c r="H106" s="189"/>
    </row>
    <row r="107" spans="1:38" ht="18.5" x14ac:dyDescent="0.35">
      <c r="E107" s="468" t="s">
        <v>113</v>
      </c>
      <c r="F107" s="469"/>
      <c r="G107" s="469"/>
      <c r="H107" s="469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1"/>
      <c r="Y107" s="190"/>
      <c r="Z107" s="190"/>
      <c r="AA107" s="190"/>
      <c r="AB107" s="190"/>
      <c r="AC107" s="190"/>
      <c r="AD107" s="190"/>
      <c r="AE107" s="190"/>
      <c r="AF107" s="190"/>
      <c r="AG107" s="190"/>
      <c r="AH107" s="190"/>
      <c r="AI107" s="190"/>
      <c r="AJ107" s="191"/>
    </row>
    <row r="108" spans="1:38" x14ac:dyDescent="0.35">
      <c r="E108" s="472" t="s">
        <v>114</v>
      </c>
      <c r="F108" s="473" t="s">
        <v>115</v>
      </c>
      <c r="G108" s="474"/>
      <c r="H108" s="475"/>
      <c r="I108" s="473"/>
      <c r="J108" s="473"/>
      <c r="K108" s="473"/>
      <c r="L108" s="473"/>
      <c r="M108" s="473"/>
      <c r="N108" s="473"/>
      <c r="O108" s="473"/>
      <c r="P108" s="473"/>
      <c r="Q108" s="473"/>
      <c r="R108" s="473"/>
      <c r="S108" s="473"/>
      <c r="T108" s="473"/>
      <c r="U108" s="476"/>
      <c r="V108" s="477"/>
      <c r="AJ108" s="192"/>
    </row>
    <row r="109" spans="1:38" x14ac:dyDescent="0.35">
      <c r="E109" s="472" t="s">
        <v>116</v>
      </c>
      <c r="F109" s="478" t="s">
        <v>717</v>
      </c>
      <c r="G109" s="474"/>
      <c r="H109" s="475"/>
      <c r="I109" s="473"/>
      <c r="J109" s="473"/>
      <c r="K109" s="473"/>
      <c r="L109" s="473"/>
      <c r="M109" s="473"/>
      <c r="N109" s="473"/>
      <c r="O109" s="473"/>
      <c r="P109" s="473"/>
      <c r="Q109" s="473"/>
      <c r="R109" s="473"/>
      <c r="S109" s="473"/>
      <c r="T109" s="473"/>
      <c r="U109" s="476"/>
      <c r="V109" s="477"/>
      <c r="AJ109" s="192"/>
    </row>
    <row r="110" spans="1:38" x14ac:dyDescent="0.35">
      <c r="E110" s="472"/>
      <c r="F110" s="478" t="s">
        <v>813</v>
      </c>
      <c r="G110" s="474"/>
      <c r="H110" s="475"/>
      <c r="I110" s="473"/>
      <c r="J110" s="473"/>
      <c r="K110" s="473"/>
      <c r="L110" s="473"/>
      <c r="M110" s="473"/>
      <c r="N110" s="473"/>
      <c r="O110" s="473"/>
      <c r="P110" s="473"/>
      <c r="Q110" s="473"/>
      <c r="R110" s="473"/>
      <c r="S110" s="473"/>
      <c r="T110" s="473"/>
      <c r="U110" s="476"/>
      <c r="V110" s="477"/>
      <c r="AJ110" s="192"/>
    </row>
    <row r="111" spans="1:38" x14ac:dyDescent="0.35">
      <c r="E111" s="472" t="s">
        <v>117</v>
      </c>
      <c r="F111" s="479" t="s">
        <v>118</v>
      </c>
      <c r="G111" s="474"/>
      <c r="H111" s="475"/>
      <c r="I111" s="473"/>
      <c r="J111" s="473"/>
      <c r="K111" s="473"/>
      <c r="L111" s="473"/>
      <c r="M111" s="473"/>
      <c r="N111" s="473"/>
      <c r="O111" s="473"/>
      <c r="P111" s="473"/>
      <c r="Q111" s="473"/>
      <c r="R111" s="473"/>
      <c r="S111" s="473"/>
      <c r="T111" s="473"/>
      <c r="U111" s="476"/>
      <c r="V111" s="477"/>
      <c r="AJ111" s="192"/>
    </row>
    <row r="112" spans="1:38" x14ac:dyDescent="0.35">
      <c r="E112" s="472"/>
      <c r="F112" s="479" t="s">
        <v>119</v>
      </c>
      <c r="G112" s="474"/>
      <c r="H112" s="475"/>
      <c r="I112" s="473"/>
      <c r="J112" s="473"/>
      <c r="K112" s="473"/>
      <c r="L112" s="473"/>
      <c r="M112" s="473"/>
      <c r="N112" s="473"/>
      <c r="O112" s="473"/>
      <c r="P112" s="473"/>
      <c r="Q112" s="473"/>
      <c r="R112" s="473"/>
      <c r="S112" s="473"/>
      <c r="T112" s="473"/>
      <c r="U112" s="476"/>
      <c r="V112" s="477"/>
      <c r="AJ112" s="192"/>
    </row>
    <row r="113" spans="5:36" x14ac:dyDescent="0.35">
      <c r="E113" s="472" t="s">
        <v>120</v>
      </c>
      <c r="F113" s="480" t="s">
        <v>718</v>
      </c>
      <c r="G113" s="474"/>
      <c r="H113" s="475"/>
      <c r="I113" s="473"/>
      <c r="J113" s="473"/>
      <c r="K113" s="473"/>
      <c r="L113" s="473"/>
      <c r="M113" s="473"/>
      <c r="N113" s="473"/>
      <c r="O113" s="473"/>
      <c r="P113" s="473"/>
      <c r="Q113" s="473"/>
      <c r="R113" s="473"/>
      <c r="S113" s="473"/>
      <c r="T113" s="473"/>
      <c r="U113" s="476"/>
      <c r="V113" s="477"/>
      <c r="AJ113" s="192"/>
    </row>
    <row r="114" spans="5:36" x14ac:dyDescent="0.35">
      <c r="E114" s="472" t="s">
        <v>121</v>
      </c>
      <c r="F114" s="478" t="s">
        <v>719</v>
      </c>
      <c r="G114" s="474"/>
      <c r="H114" s="475"/>
      <c r="I114" s="473"/>
      <c r="J114" s="473"/>
      <c r="K114" s="473"/>
      <c r="L114" s="473"/>
      <c r="M114" s="473"/>
      <c r="N114" s="473"/>
      <c r="O114" s="473"/>
      <c r="P114" s="473"/>
      <c r="Q114" s="473"/>
      <c r="R114" s="473"/>
      <c r="S114" s="473"/>
      <c r="T114" s="473"/>
      <c r="U114" s="476"/>
      <c r="V114" s="477"/>
      <c r="AJ114" s="192"/>
    </row>
    <row r="115" spans="5:36" x14ac:dyDescent="0.35">
      <c r="E115" s="472" t="s">
        <v>815</v>
      </c>
      <c r="F115" s="478" t="s">
        <v>816</v>
      </c>
      <c r="G115" s="474"/>
      <c r="H115" s="475"/>
      <c r="I115" s="473"/>
      <c r="J115" s="473"/>
      <c r="K115" s="473"/>
      <c r="L115" s="473"/>
      <c r="M115" s="473"/>
      <c r="N115" s="473"/>
      <c r="O115" s="473"/>
      <c r="P115" s="473"/>
      <c r="Q115" s="473"/>
      <c r="R115" s="473"/>
      <c r="S115" s="473"/>
      <c r="T115" s="473"/>
      <c r="U115" s="476"/>
      <c r="V115" s="477"/>
      <c r="AJ115" s="192"/>
    </row>
    <row r="116" spans="5:36" ht="15" thickBot="1" x14ac:dyDescent="0.4">
      <c r="E116" s="481" t="s">
        <v>817</v>
      </c>
      <c r="F116" s="482" t="s">
        <v>818</v>
      </c>
      <c r="G116" s="483"/>
      <c r="H116" s="484"/>
      <c r="I116" s="485"/>
      <c r="J116" s="485"/>
      <c r="K116" s="485"/>
      <c r="L116" s="485"/>
      <c r="M116" s="485"/>
      <c r="N116" s="485"/>
      <c r="O116" s="485"/>
      <c r="P116" s="485"/>
      <c r="Q116" s="485"/>
      <c r="R116" s="485"/>
      <c r="S116" s="485"/>
      <c r="T116" s="485"/>
      <c r="U116" s="486"/>
      <c r="V116" s="487"/>
      <c r="Y116" s="193"/>
      <c r="Z116" s="193"/>
      <c r="AA116" s="193"/>
      <c r="AB116" s="193"/>
      <c r="AC116" s="193"/>
      <c r="AD116" s="193"/>
      <c r="AE116" s="193"/>
      <c r="AF116" s="193"/>
      <c r="AG116" s="193"/>
      <c r="AH116" s="193"/>
      <c r="AI116" s="193"/>
      <c r="AJ116" s="194"/>
    </row>
    <row r="117" spans="5:36" x14ac:dyDescent="0.35">
      <c r="E117" s="186"/>
      <c r="F117" s="187"/>
      <c r="G117" s="188"/>
      <c r="H117" s="189"/>
    </row>
    <row r="118" spans="5:36" ht="18.5" x14ac:dyDescent="0.45">
      <c r="E118" s="186"/>
      <c r="F118" s="507"/>
      <c r="G118" s="188"/>
      <c r="H118" s="189"/>
    </row>
    <row r="119" spans="5:36" ht="18.5" x14ac:dyDescent="0.45">
      <c r="F119" s="508"/>
    </row>
  </sheetData>
  <mergeCells count="10">
    <mergeCell ref="AB4:AF4"/>
    <mergeCell ref="AB5:AF5"/>
    <mergeCell ref="AH5:AL5"/>
    <mergeCell ref="E99:E102"/>
    <mergeCell ref="E2:V2"/>
    <mergeCell ref="E3:V3"/>
    <mergeCell ref="E4:J4"/>
    <mergeCell ref="L4:P4"/>
    <mergeCell ref="L5:P5"/>
    <mergeCell ref="R5:V5"/>
  </mergeCells>
  <conditionalFormatting sqref="Q8:V46 AG8:AL46 AG64:AL64">
    <cfRule type="cellIs" dxfId="14" priority="14" stopIfTrue="1" operator="lessThanOrEqual">
      <formula>0.9</formula>
    </cfRule>
  </conditionalFormatting>
  <conditionalFormatting sqref="Q47:V47">
    <cfRule type="cellIs" dxfId="13" priority="11" stopIfTrue="1" operator="greaterThan">
      <formula>1</formula>
    </cfRule>
    <cfRule type="cellIs" dxfId="12" priority="12" stopIfTrue="1" operator="lessThanOrEqual">
      <formula>1</formula>
    </cfRule>
  </conditionalFormatting>
  <conditionalFormatting sqref="Q48:V96 AG48:AL96">
    <cfRule type="cellIs" dxfId="11" priority="9" stopIfTrue="1" operator="greaterThan">
      <formula>0.9</formula>
    </cfRule>
    <cfRule type="cellIs" dxfId="10" priority="10" stopIfTrue="1" operator="lessThanOrEqual">
      <formula>0.9</formula>
    </cfRule>
  </conditionalFormatting>
  <conditionalFormatting sqref="Q99:V102 Q104:V104">
    <cfRule type="cellIs" dxfId="9" priority="15" stopIfTrue="1" operator="greaterThan">
      <formula>1</formula>
    </cfRule>
    <cfRule type="cellIs" dxfId="8" priority="16" stopIfTrue="1" operator="lessThanOrEqual">
      <formula>1</formula>
    </cfRule>
  </conditionalFormatting>
  <conditionalFormatting sqref="AG47:AL47">
    <cfRule type="cellIs" dxfId="7" priority="3" stopIfTrue="1" operator="greaterThan">
      <formula>1</formula>
    </cfRule>
    <cfRule type="cellIs" dxfId="6" priority="4" stopIfTrue="1" operator="lessThanOrEqual">
      <formula>1</formula>
    </cfRule>
  </conditionalFormatting>
  <conditionalFormatting sqref="AG64:AL64 Q8:V46 AG8:AL46">
    <cfRule type="cellIs" dxfId="5" priority="13" stopIfTrue="1" operator="greaterThan">
      <formula>0.9</formula>
    </cfRule>
  </conditionalFormatting>
  <conditionalFormatting sqref="AG99:AL102 AG104:AL104">
    <cfRule type="cellIs" dxfId="4" priority="7" stopIfTrue="1" operator="greaterThan">
      <formula>1</formula>
    </cfRule>
    <cfRule type="cellIs" dxfId="3" priority="8" stopIfTrue="1" operator="lessThanOrEqual">
      <formula>1</formula>
    </cfRule>
  </conditionalFormatting>
  <printOptions horizontalCentered="1"/>
  <pageMargins left="0.7" right="0.7" top="0.5" bottom="0.5" header="0.3" footer="0.3"/>
  <pageSetup scale="67" fitToHeight="0" pageOrder="overThenDown" orientation="landscape" r:id="rId1"/>
  <headerFooter>
    <oddFooter>&amp;LFacilities Services / KMB&amp;CFOCUS Survey II, 10-10-2025 Final Budgeting &amp; GM Projections, &amp;D&amp;RPage &amp;P of &amp;N</oddFooter>
  </headerFooter>
  <rowBreaks count="2" manualBreakCount="2">
    <brk id="44" min="4" max="21" man="1"/>
    <brk id="85" min="4" max="21" man="1"/>
  </rowBreaks>
  <ignoredErrors>
    <ignoredError sqref="AA104 J90 J81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4D92-3018-4BC3-8CE2-6C05BD9DDBE6}">
  <sheetPr>
    <pageSetUpPr fitToPage="1"/>
  </sheetPr>
  <dimension ref="A1:AX110"/>
  <sheetViews>
    <sheetView topLeftCell="A81" zoomScale="85" zoomScaleNormal="85" workbookViewId="0">
      <selection activeCell="F109" sqref="F109"/>
    </sheetView>
  </sheetViews>
  <sheetFormatPr defaultColWidth="9.1796875" defaultRowHeight="14.5" x14ac:dyDescent="0.35"/>
  <cols>
    <col min="1" max="4" width="9.1796875" style="263"/>
    <col min="5" max="5" width="10" style="263" bestFit="1" customWidth="1"/>
    <col min="6" max="6" width="36.36328125" style="263" bestFit="1" customWidth="1"/>
    <col min="7" max="7" width="9.1796875" style="263" customWidth="1"/>
    <col min="8" max="12" width="8.7265625" style="263" customWidth="1"/>
    <col min="13" max="17" width="9.1796875" style="263" hidden="1" customWidth="1"/>
    <col min="18" max="18" width="11.26953125" style="263" customWidth="1"/>
    <col min="19" max="27" width="9.1796875" style="263" hidden="1" customWidth="1"/>
    <col min="28" max="28" width="9.08984375" style="263" customWidth="1"/>
    <col min="29" max="29" width="10.1796875" style="263" customWidth="1"/>
    <col min="30" max="33" width="8.7265625" style="263" customWidth="1"/>
    <col min="34" max="38" width="9.1796875" style="263" hidden="1" customWidth="1"/>
    <col min="39" max="39" width="20.7265625" style="263" hidden="1" customWidth="1"/>
    <col min="40" max="40" width="6" style="263" customWidth="1"/>
    <col min="41" max="41" width="12" style="263" customWidth="1"/>
    <col min="42" max="43" width="8.7265625" style="263" customWidth="1"/>
    <col min="44" max="44" width="10.1796875" style="263" customWidth="1"/>
    <col min="45" max="45" width="3.7265625" style="263" customWidth="1"/>
    <col min="46" max="46" width="10.1796875" style="263" customWidth="1"/>
    <col min="47" max="16384" width="9.1796875" style="263"/>
  </cols>
  <sheetData>
    <row r="1" spans="1:50" x14ac:dyDescent="0.35">
      <c r="A1" s="26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</row>
    <row r="2" spans="1:50" x14ac:dyDescent="0.35">
      <c r="A2" s="262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2"/>
      <c r="AL2" s="262"/>
      <c r="AM2" s="262"/>
    </row>
    <row r="3" spans="1:50" x14ac:dyDescent="0.35">
      <c r="A3" s="262"/>
      <c r="B3" s="262">
        <v>1</v>
      </c>
      <c r="C3" s="262">
        <f>B3+1</f>
        <v>2</v>
      </c>
      <c r="D3" s="262">
        <f t="shared" ref="D3:AG3" si="0">C3+1</f>
        <v>3</v>
      </c>
      <c r="E3" s="262">
        <f t="shared" si="0"/>
        <v>4</v>
      </c>
      <c r="F3" s="262">
        <f t="shared" si="0"/>
        <v>5</v>
      </c>
      <c r="G3" s="262">
        <f t="shared" si="0"/>
        <v>6</v>
      </c>
      <c r="H3" s="262">
        <f t="shared" si="0"/>
        <v>7</v>
      </c>
      <c r="I3" s="262">
        <f t="shared" si="0"/>
        <v>8</v>
      </c>
      <c r="J3" s="262">
        <f t="shared" si="0"/>
        <v>9</v>
      </c>
      <c r="K3" s="262">
        <f t="shared" si="0"/>
        <v>10</v>
      </c>
      <c r="L3" s="262">
        <f t="shared" si="0"/>
        <v>11</v>
      </c>
      <c r="M3" s="262">
        <f t="shared" si="0"/>
        <v>12</v>
      </c>
      <c r="N3" s="262">
        <f t="shared" si="0"/>
        <v>13</v>
      </c>
      <c r="O3" s="262">
        <f t="shared" si="0"/>
        <v>14</v>
      </c>
      <c r="P3" s="262">
        <f t="shared" si="0"/>
        <v>15</v>
      </c>
      <c r="Q3" s="262">
        <f t="shared" si="0"/>
        <v>16</v>
      </c>
      <c r="R3" s="262">
        <f t="shared" si="0"/>
        <v>17</v>
      </c>
      <c r="S3" s="262">
        <f t="shared" si="0"/>
        <v>18</v>
      </c>
      <c r="T3" s="262">
        <f t="shared" si="0"/>
        <v>19</v>
      </c>
      <c r="U3" s="262">
        <f t="shared" si="0"/>
        <v>20</v>
      </c>
      <c r="V3" s="262">
        <f t="shared" si="0"/>
        <v>21</v>
      </c>
      <c r="W3" s="262">
        <f t="shared" si="0"/>
        <v>22</v>
      </c>
      <c r="X3" s="262">
        <f t="shared" si="0"/>
        <v>23</v>
      </c>
      <c r="Y3" s="262">
        <f t="shared" si="0"/>
        <v>24</v>
      </c>
      <c r="Z3" s="262">
        <f t="shared" si="0"/>
        <v>25</v>
      </c>
      <c r="AA3" s="262">
        <f t="shared" si="0"/>
        <v>26</v>
      </c>
      <c r="AB3" s="262">
        <f t="shared" si="0"/>
        <v>27</v>
      </c>
      <c r="AC3" s="467">
        <f t="shared" si="0"/>
        <v>28</v>
      </c>
      <c r="AD3" s="467">
        <f t="shared" si="0"/>
        <v>29</v>
      </c>
      <c r="AE3" s="467">
        <f t="shared" si="0"/>
        <v>30</v>
      </c>
      <c r="AF3" s="467">
        <f t="shared" si="0"/>
        <v>31</v>
      </c>
      <c r="AG3" s="467">
        <f t="shared" si="0"/>
        <v>32</v>
      </c>
      <c r="AH3" s="262"/>
      <c r="AI3" s="262"/>
      <c r="AJ3" s="262"/>
      <c r="AK3" s="262"/>
      <c r="AL3" s="262"/>
      <c r="AM3" s="262"/>
    </row>
    <row r="4" spans="1:50" x14ac:dyDescent="0.35">
      <c r="A4" s="262"/>
      <c r="B4" s="262"/>
      <c r="C4" s="262">
        <v>1</v>
      </c>
      <c r="D4" s="262">
        <v>2</v>
      </c>
      <c r="E4" s="262">
        <v>3</v>
      </c>
      <c r="F4" s="262">
        <v>4</v>
      </c>
      <c r="G4" s="262">
        <v>5</v>
      </c>
      <c r="H4" s="262">
        <v>6</v>
      </c>
      <c r="I4" s="262">
        <v>7</v>
      </c>
      <c r="J4" s="262">
        <v>8</v>
      </c>
      <c r="K4" s="262">
        <v>9</v>
      </c>
      <c r="L4" s="262">
        <v>10</v>
      </c>
      <c r="M4" s="262">
        <v>11</v>
      </c>
      <c r="N4" s="262">
        <v>12</v>
      </c>
      <c r="O4" s="262">
        <v>13</v>
      </c>
      <c r="P4" s="262">
        <v>14</v>
      </c>
      <c r="Q4" s="262">
        <v>15</v>
      </c>
      <c r="R4" s="262">
        <v>16</v>
      </c>
      <c r="S4" s="262">
        <v>17</v>
      </c>
      <c r="T4" s="262">
        <v>18</v>
      </c>
      <c r="U4" s="262">
        <v>19</v>
      </c>
      <c r="V4" s="262">
        <v>20</v>
      </c>
      <c r="W4" s="262">
        <v>21</v>
      </c>
      <c r="X4" s="262">
        <v>22</v>
      </c>
      <c r="Y4" s="262">
        <v>23</v>
      </c>
      <c r="Z4" s="262">
        <v>24</v>
      </c>
      <c r="AA4" s="262">
        <v>25</v>
      </c>
      <c r="AB4" s="262">
        <v>26</v>
      </c>
      <c r="AC4" s="262">
        <v>27</v>
      </c>
      <c r="AD4" s="262">
        <v>28</v>
      </c>
      <c r="AE4" s="262">
        <v>29</v>
      </c>
      <c r="AF4" s="262">
        <v>30</v>
      </c>
      <c r="AG4" s="262">
        <v>31</v>
      </c>
      <c r="AH4" s="262">
        <v>32</v>
      </c>
      <c r="AI4" s="262">
        <v>33</v>
      </c>
      <c r="AJ4" s="262">
        <v>34</v>
      </c>
      <c r="AK4" s="262"/>
      <c r="AL4" s="262">
        <v>35</v>
      </c>
      <c r="AM4" s="262">
        <v>36</v>
      </c>
    </row>
    <row r="5" spans="1:50" ht="44.5" x14ac:dyDescent="0.35">
      <c r="A5" s="262"/>
      <c r="B5" s="262"/>
      <c r="C5" s="262"/>
      <c r="D5" s="262"/>
      <c r="E5" s="262"/>
      <c r="F5" s="264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2"/>
      <c r="AJ5" s="262"/>
      <c r="AK5" s="262"/>
      <c r="AL5" s="262"/>
      <c r="AM5" s="262"/>
    </row>
    <row r="6" spans="1:50" ht="70" customHeight="1" x14ac:dyDescent="0.35">
      <c r="A6" s="262"/>
      <c r="B6" s="262"/>
      <c r="C6" s="262"/>
      <c r="D6" s="262"/>
      <c r="E6" s="262"/>
      <c r="F6" s="694" t="s">
        <v>798</v>
      </c>
      <c r="G6" s="694"/>
      <c r="H6" s="694"/>
      <c r="I6" s="694"/>
      <c r="J6" s="694"/>
      <c r="K6" s="694"/>
      <c r="L6" s="694"/>
      <c r="M6" s="694"/>
      <c r="N6" s="694"/>
      <c r="O6" s="694"/>
      <c r="P6" s="694"/>
      <c r="Q6" s="694"/>
      <c r="R6" s="694"/>
      <c r="S6" s="694"/>
      <c r="T6" s="694"/>
      <c r="U6" s="694"/>
      <c r="V6" s="694"/>
      <c r="W6" s="694"/>
      <c r="X6" s="694"/>
      <c r="Y6" s="694"/>
      <c r="Z6" s="694"/>
      <c r="AA6" s="694"/>
      <c r="AB6" s="694"/>
      <c r="AC6" s="694"/>
      <c r="AD6" s="694"/>
      <c r="AE6" s="694"/>
      <c r="AF6" s="694"/>
      <c r="AG6" s="694"/>
      <c r="AH6" s="694"/>
      <c r="AI6" s="694"/>
      <c r="AJ6" s="694"/>
      <c r="AK6" s="694"/>
      <c r="AL6" s="694"/>
      <c r="AM6" s="694"/>
      <c r="AN6" s="694"/>
      <c r="AO6" s="694"/>
      <c r="AP6" s="694"/>
      <c r="AQ6" s="694"/>
      <c r="AR6" s="694"/>
      <c r="AS6" s="433"/>
      <c r="AT6" s="433"/>
    </row>
    <row r="7" spans="1:50" ht="6" customHeight="1" thickBot="1" x14ac:dyDescent="0.4">
      <c r="A7" s="262"/>
      <c r="B7" s="262"/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</row>
    <row r="8" spans="1:50" ht="51.75" customHeight="1" thickBot="1" x14ac:dyDescent="0.4">
      <c r="A8" s="262"/>
      <c r="B8" s="262"/>
      <c r="C8" s="262"/>
      <c r="D8" s="262"/>
      <c r="E8" s="262"/>
      <c r="F8" s="265"/>
      <c r="G8" s="265"/>
      <c r="H8" s="695" t="s">
        <v>396</v>
      </c>
      <c r="I8" s="696"/>
      <c r="J8" s="696"/>
      <c r="K8" s="696"/>
      <c r="L8" s="696"/>
      <c r="M8" s="696"/>
      <c r="N8" s="696"/>
      <c r="O8" s="696"/>
      <c r="P8" s="696"/>
      <c r="Q8" s="697"/>
      <c r="R8" s="698" t="s">
        <v>397</v>
      </c>
      <c r="S8" s="699"/>
      <c r="T8" s="699"/>
      <c r="U8" s="699"/>
      <c r="V8" s="699"/>
      <c r="W8" s="699"/>
      <c r="X8" s="699"/>
      <c r="Y8" s="699"/>
      <c r="Z8" s="699"/>
      <c r="AA8" s="699"/>
      <c r="AB8" s="700" t="s">
        <v>799</v>
      </c>
      <c r="AC8" s="687" t="s">
        <v>398</v>
      </c>
      <c r="AD8" s="688"/>
      <c r="AE8" s="688"/>
      <c r="AF8" s="688"/>
      <c r="AG8" s="689"/>
      <c r="AH8" s="266"/>
      <c r="AI8" s="266"/>
      <c r="AJ8" s="266"/>
      <c r="AK8" s="266"/>
      <c r="AL8" s="267"/>
      <c r="AM8" s="268"/>
      <c r="AO8" s="269" t="s">
        <v>399</v>
      </c>
      <c r="AP8" s="702" t="s">
        <v>801</v>
      </c>
      <c r="AQ8" s="702" t="s">
        <v>802</v>
      </c>
      <c r="AR8" s="704" t="s">
        <v>803</v>
      </c>
      <c r="AS8" s="270"/>
      <c r="AT8" s="687" t="s">
        <v>400</v>
      </c>
      <c r="AU8" s="688"/>
      <c r="AV8" s="688"/>
      <c r="AW8" s="688"/>
      <c r="AX8" s="689"/>
    </row>
    <row r="9" spans="1:50" ht="39.5" thickBot="1" x14ac:dyDescent="0.4">
      <c r="A9" s="262"/>
      <c r="B9" s="271" t="s">
        <v>9</v>
      </c>
      <c r="C9" s="272" t="s">
        <v>8</v>
      </c>
      <c r="D9" s="272" t="s">
        <v>401</v>
      </c>
      <c r="E9" s="272" t="s">
        <v>402</v>
      </c>
      <c r="F9" s="273" t="s">
        <v>403</v>
      </c>
      <c r="G9" s="274" t="s">
        <v>799</v>
      </c>
      <c r="H9" s="275" t="s">
        <v>497</v>
      </c>
      <c r="I9" s="275" t="s">
        <v>500</v>
      </c>
      <c r="J9" s="275" t="s">
        <v>507</v>
      </c>
      <c r="K9" s="275" t="s">
        <v>631</v>
      </c>
      <c r="L9" s="275" t="s">
        <v>716</v>
      </c>
      <c r="M9" s="275">
        <v>2024</v>
      </c>
      <c r="N9" s="275">
        <v>2025</v>
      </c>
      <c r="O9" s="275">
        <v>2026</v>
      </c>
      <c r="P9" s="275">
        <v>2027</v>
      </c>
      <c r="Q9" s="276">
        <v>2028</v>
      </c>
      <c r="R9" s="277" t="s">
        <v>495</v>
      </c>
      <c r="S9" s="278">
        <v>2018</v>
      </c>
      <c r="T9" s="278">
        <v>2019</v>
      </c>
      <c r="U9" s="278">
        <v>2020</v>
      </c>
      <c r="V9" s="278">
        <v>2021</v>
      </c>
      <c r="W9" s="278">
        <v>2022</v>
      </c>
      <c r="X9" s="278">
        <v>2023</v>
      </c>
      <c r="Y9" s="278">
        <v>2024</v>
      </c>
      <c r="Z9" s="278">
        <v>2025</v>
      </c>
      <c r="AA9" s="279">
        <v>2026</v>
      </c>
      <c r="AB9" s="701"/>
      <c r="AC9" s="280" t="s">
        <v>800</v>
      </c>
      <c r="AD9" s="281" t="s">
        <v>500</v>
      </c>
      <c r="AE9" s="282" t="s">
        <v>507</v>
      </c>
      <c r="AF9" s="283" t="s">
        <v>631</v>
      </c>
      <c r="AG9" s="283" t="s">
        <v>716</v>
      </c>
      <c r="AH9" s="284">
        <v>2021</v>
      </c>
      <c r="AI9" s="282">
        <v>2022</v>
      </c>
      <c r="AJ9" s="282">
        <v>2023</v>
      </c>
      <c r="AK9" s="282">
        <v>2024</v>
      </c>
      <c r="AL9" s="283">
        <v>2025</v>
      </c>
      <c r="AM9" s="285" t="s">
        <v>403</v>
      </c>
      <c r="AO9" s="286" t="s">
        <v>495</v>
      </c>
      <c r="AP9" s="703"/>
      <c r="AQ9" s="703"/>
      <c r="AR9" s="705"/>
      <c r="AS9" s="270"/>
      <c r="AT9" s="280" t="s">
        <v>800</v>
      </c>
      <c r="AU9" s="281" t="s">
        <v>500</v>
      </c>
      <c r="AV9" s="281" t="s">
        <v>507</v>
      </c>
      <c r="AW9" s="282" t="s">
        <v>631</v>
      </c>
      <c r="AX9" s="283" t="s">
        <v>716</v>
      </c>
    </row>
    <row r="10" spans="1:50" ht="15.5" x14ac:dyDescent="0.35">
      <c r="A10" s="262"/>
      <c r="B10" s="290">
        <v>3101</v>
      </c>
      <c r="C10" s="291">
        <v>52</v>
      </c>
      <c r="D10" s="292" t="s">
        <v>406</v>
      </c>
      <c r="E10" s="262">
        <v>1</v>
      </c>
      <c r="F10" s="293" t="s">
        <v>405</v>
      </c>
      <c r="G10" s="294">
        <v>598</v>
      </c>
      <c r="H10" s="642">
        <v>581</v>
      </c>
      <c r="I10" s="295">
        <v>560</v>
      </c>
      <c r="J10" s="295">
        <v>535</v>
      </c>
      <c r="K10" s="295">
        <v>512</v>
      </c>
      <c r="L10" s="295">
        <v>492</v>
      </c>
      <c r="M10" s="295" t="e">
        <v>#REF!</v>
      </c>
      <c r="N10" s="295" t="e">
        <v>#REF!</v>
      </c>
      <c r="O10" s="295" t="e">
        <v>#REF!</v>
      </c>
      <c r="P10" s="295" t="e">
        <v>#REF!</v>
      </c>
      <c r="Q10" s="296" t="e">
        <v>#REF!</v>
      </c>
      <c r="R10" s="555">
        <f t="shared" ref="R10:R40" si="1">VLOOKUP(B10,budgeting2025, 11, FALSE)</f>
        <v>589</v>
      </c>
      <c r="S10" s="298"/>
      <c r="T10" s="298"/>
      <c r="U10" s="298"/>
      <c r="V10" s="298"/>
      <c r="W10" s="299"/>
      <c r="X10" s="299"/>
      <c r="Y10" s="299"/>
      <c r="Z10" s="299"/>
      <c r="AA10" s="300"/>
      <c r="AB10" s="287">
        <f>G10</f>
        <v>598</v>
      </c>
      <c r="AC10" s="502">
        <f>R10</f>
        <v>589</v>
      </c>
      <c r="AD10" s="302">
        <f>(I10-H10)+AC10</f>
        <v>568</v>
      </c>
      <c r="AE10" s="302">
        <f t="shared" ref="AE10:AG10" si="2">(J10-I10)+AD10</f>
        <v>543</v>
      </c>
      <c r="AF10" s="302">
        <f t="shared" si="2"/>
        <v>520</v>
      </c>
      <c r="AG10" s="302">
        <f t="shared" si="2"/>
        <v>500</v>
      </c>
      <c r="AH10" s="302" t="e">
        <f t="shared" ref="AH10:AL25" si="3">(M10-L10)+AG10</f>
        <v>#REF!</v>
      </c>
      <c r="AI10" s="302" t="e">
        <f t="shared" si="3"/>
        <v>#REF!</v>
      </c>
      <c r="AJ10" s="302" t="e">
        <f t="shared" si="3"/>
        <v>#REF!</v>
      </c>
      <c r="AK10" s="303" t="e">
        <f t="shared" si="3"/>
        <v>#REF!</v>
      </c>
      <c r="AL10" s="304" t="e">
        <f t="shared" si="3"/>
        <v>#REF!</v>
      </c>
      <c r="AM10" s="305" t="s">
        <v>405</v>
      </c>
      <c r="AO10" s="306">
        <f>H10-R10</f>
        <v>-8</v>
      </c>
      <c r="AP10" s="453">
        <f>H10-AB10</f>
        <v>-17</v>
      </c>
      <c r="AQ10" s="306">
        <f>AC10-AB10</f>
        <v>-9</v>
      </c>
      <c r="AR10" s="306">
        <f>ROUND(((H10+AC10)/2)-AB10, 0)</f>
        <v>-13</v>
      </c>
      <c r="AS10" s="289"/>
      <c r="AT10" s="307">
        <f>AC10-AB10</f>
        <v>-9</v>
      </c>
      <c r="AU10" s="571">
        <f t="shared" ref="AU10:AX24" si="4">AD10-AC10</f>
        <v>-21</v>
      </c>
      <c r="AV10" s="571">
        <f t="shared" si="4"/>
        <v>-25</v>
      </c>
      <c r="AW10" s="571">
        <f t="shared" si="4"/>
        <v>-23</v>
      </c>
      <c r="AX10" s="572">
        <f t="shared" si="4"/>
        <v>-20</v>
      </c>
    </row>
    <row r="11" spans="1:50" ht="15.5" x14ac:dyDescent="0.35">
      <c r="A11" s="262"/>
      <c r="B11" s="309">
        <v>1141</v>
      </c>
      <c r="C11" s="310">
        <v>27</v>
      </c>
      <c r="D11" s="311" t="s">
        <v>404</v>
      </c>
      <c r="E11" s="312">
        <v>1</v>
      </c>
      <c r="F11" s="313" t="s">
        <v>407</v>
      </c>
      <c r="G11" s="314">
        <v>433</v>
      </c>
      <c r="H11" s="643">
        <v>422</v>
      </c>
      <c r="I11" s="315">
        <v>381</v>
      </c>
      <c r="J11" s="315">
        <v>363</v>
      </c>
      <c r="K11" s="315">
        <v>354</v>
      </c>
      <c r="L11" s="315">
        <v>344</v>
      </c>
      <c r="M11" s="315" t="e">
        <v>#REF!</v>
      </c>
      <c r="N11" s="315" t="e">
        <v>#REF!</v>
      </c>
      <c r="O11" s="315" t="e">
        <v>#REF!</v>
      </c>
      <c r="P11" s="315" t="e">
        <v>#REF!</v>
      </c>
      <c r="Q11" s="316" t="e">
        <v>#REF!</v>
      </c>
      <c r="R11" s="551">
        <f t="shared" si="1"/>
        <v>422</v>
      </c>
      <c r="S11" s="317"/>
      <c r="T11" s="317"/>
      <c r="U11" s="317"/>
      <c r="V11" s="317"/>
      <c r="W11" s="318"/>
      <c r="X11" s="318"/>
      <c r="Y11" s="318"/>
      <c r="Z11" s="318"/>
      <c r="AA11" s="319"/>
      <c r="AB11" s="320">
        <f t="shared" ref="AB11:AB74" si="5">G11</f>
        <v>433</v>
      </c>
      <c r="AC11" s="301">
        <f t="shared" ref="AC11:AC74" si="6">R11</f>
        <v>422</v>
      </c>
      <c r="AD11" s="321">
        <f t="shared" ref="AD11:AD74" si="7">(I11-H11)+AC11</f>
        <v>381</v>
      </c>
      <c r="AE11" s="321">
        <f t="shared" ref="AE11:AE74" si="8">(J11-I11)+AD11</f>
        <v>363</v>
      </c>
      <c r="AF11" s="321">
        <f t="shared" ref="AF11:AF74" si="9">(K11-J11)+AE11</f>
        <v>354</v>
      </c>
      <c r="AG11" s="321">
        <f t="shared" ref="AG11:AG74" si="10">(L11-K11)+AF11</f>
        <v>344</v>
      </c>
      <c r="AH11" s="321" t="e">
        <f t="shared" si="3"/>
        <v>#REF!</v>
      </c>
      <c r="AI11" s="321" t="e">
        <f t="shared" si="3"/>
        <v>#REF!</v>
      </c>
      <c r="AJ11" s="321" t="e">
        <f t="shared" si="3"/>
        <v>#REF!</v>
      </c>
      <c r="AK11" s="322" t="e">
        <f t="shared" si="3"/>
        <v>#REF!</v>
      </c>
      <c r="AL11" s="323" t="e">
        <f t="shared" si="3"/>
        <v>#REF!</v>
      </c>
      <c r="AM11" s="324" t="s">
        <v>407</v>
      </c>
      <c r="AO11" s="306">
        <f t="shared" ref="AO11:AO76" si="11">H11-R11</f>
        <v>0</v>
      </c>
      <c r="AP11" s="306">
        <f t="shared" ref="AP11:AP76" si="12">H11-AB11</f>
        <v>-11</v>
      </c>
      <c r="AQ11" s="306">
        <f t="shared" ref="AQ11:AQ76" si="13">AC11-AB11</f>
        <v>-11</v>
      </c>
      <c r="AR11" s="306">
        <f t="shared" ref="AR11:AR76" si="14">ROUND(((H11+AC11)/2)-AB11, 0)</f>
        <v>-11</v>
      </c>
      <c r="AS11" s="289"/>
      <c r="AT11" s="325">
        <f t="shared" ref="AT11:AX73" si="15">AC11-AB11</f>
        <v>-11</v>
      </c>
      <c r="AU11" s="263">
        <f t="shared" si="4"/>
        <v>-41</v>
      </c>
      <c r="AV11" s="263">
        <f t="shared" si="4"/>
        <v>-18</v>
      </c>
      <c r="AW11" s="263">
        <f t="shared" si="4"/>
        <v>-9</v>
      </c>
      <c r="AX11" s="308">
        <f t="shared" si="4"/>
        <v>-10</v>
      </c>
    </row>
    <row r="12" spans="1:50" ht="15.5" x14ac:dyDescent="0.35">
      <c r="A12" s="262"/>
      <c r="B12" s="326">
        <v>61</v>
      </c>
      <c r="C12" s="327">
        <v>4</v>
      </c>
      <c r="D12" s="328" t="s">
        <v>408</v>
      </c>
      <c r="E12" s="329">
        <v>1</v>
      </c>
      <c r="F12" s="313" t="s">
        <v>409</v>
      </c>
      <c r="G12" s="314">
        <v>573</v>
      </c>
      <c r="H12" s="643">
        <v>551</v>
      </c>
      <c r="I12" s="315">
        <v>515</v>
      </c>
      <c r="J12" s="315">
        <v>497</v>
      </c>
      <c r="K12" s="315">
        <v>493</v>
      </c>
      <c r="L12" s="315">
        <v>470</v>
      </c>
      <c r="M12" s="315" t="e">
        <v>#REF!</v>
      </c>
      <c r="N12" s="315" t="e">
        <v>#REF!</v>
      </c>
      <c r="O12" s="315" t="e">
        <v>#REF!</v>
      </c>
      <c r="P12" s="315" t="e">
        <v>#REF!</v>
      </c>
      <c r="Q12" s="316" t="e">
        <v>#REF!</v>
      </c>
      <c r="R12" s="551">
        <f t="shared" si="1"/>
        <v>564</v>
      </c>
      <c r="S12" s="317"/>
      <c r="T12" s="317"/>
      <c r="U12" s="317"/>
      <c r="V12" s="317"/>
      <c r="W12" s="318"/>
      <c r="X12" s="318"/>
      <c r="Y12" s="318"/>
      <c r="Z12" s="318"/>
      <c r="AA12" s="319"/>
      <c r="AB12" s="320">
        <f t="shared" si="5"/>
        <v>573</v>
      </c>
      <c r="AC12" s="301">
        <f t="shared" si="6"/>
        <v>564</v>
      </c>
      <c r="AD12" s="321">
        <f t="shared" si="7"/>
        <v>528</v>
      </c>
      <c r="AE12" s="321">
        <f t="shared" si="8"/>
        <v>510</v>
      </c>
      <c r="AF12" s="321">
        <f t="shared" si="9"/>
        <v>506</v>
      </c>
      <c r="AG12" s="321">
        <f t="shared" si="10"/>
        <v>483</v>
      </c>
      <c r="AH12" s="321" t="e">
        <f t="shared" si="3"/>
        <v>#REF!</v>
      </c>
      <c r="AI12" s="321" t="e">
        <f t="shared" si="3"/>
        <v>#REF!</v>
      </c>
      <c r="AJ12" s="321" t="e">
        <f t="shared" si="3"/>
        <v>#REF!</v>
      </c>
      <c r="AK12" s="322" t="e">
        <f t="shared" si="3"/>
        <v>#REF!</v>
      </c>
      <c r="AL12" s="323" t="e">
        <f t="shared" si="3"/>
        <v>#REF!</v>
      </c>
      <c r="AM12" s="324" t="s">
        <v>409</v>
      </c>
      <c r="AO12" s="306">
        <f t="shared" si="11"/>
        <v>-13</v>
      </c>
      <c r="AP12" s="306">
        <f t="shared" si="12"/>
        <v>-22</v>
      </c>
      <c r="AQ12" s="306">
        <f t="shared" si="13"/>
        <v>-9</v>
      </c>
      <c r="AR12" s="306">
        <f t="shared" si="14"/>
        <v>-16</v>
      </c>
      <c r="AS12" s="289"/>
      <c r="AT12" s="325">
        <f t="shared" si="15"/>
        <v>-9</v>
      </c>
      <c r="AU12" s="263">
        <f t="shared" si="4"/>
        <v>-36</v>
      </c>
      <c r="AV12" s="263">
        <f t="shared" si="4"/>
        <v>-18</v>
      </c>
      <c r="AW12" s="263">
        <f t="shared" si="4"/>
        <v>-4</v>
      </c>
      <c r="AX12" s="308">
        <f t="shared" si="4"/>
        <v>-23</v>
      </c>
    </row>
    <row r="13" spans="1:50" ht="15.5" x14ac:dyDescent="0.35">
      <c r="A13" s="262"/>
      <c r="B13" s="290">
        <v>201</v>
      </c>
      <c r="C13" s="291">
        <v>15</v>
      </c>
      <c r="D13" s="292" t="s">
        <v>408</v>
      </c>
      <c r="E13" s="262">
        <v>1</v>
      </c>
      <c r="F13" s="313" t="s">
        <v>410</v>
      </c>
      <c r="G13" s="314">
        <v>615</v>
      </c>
      <c r="H13" s="643">
        <v>583</v>
      </c>
      <c r="I13" s="315">
        <v>559</v>
      </c>
      <c r="J13" s="315">
        <v>524</v>
      </c>
      <c r="K13" s="315">
        <v>500</v>
      </c>
      <c r="L13" s="315">
        <v>459</v>
      </c>
      <c r="M13" s="315" t="e">
        <v>#REF!</v>
      </c>
      <c r="N13" s="315" t="e">
        <v>#REF!</v>
      </c>
      <c r="O13" s="315" t="e">
        <v>#REF!</v>
      </c>
      <c r="P13" s="315" t="e">
        <v>#REF!</v>
      </c>
      <c r="Q13" s="316" t="e">
        <v>#REF!</v>
      </c>
      <c r="R13" s="551">
        <f t="shared" si="1"/>
        <v>583</v>
      </c>
      <c r="S13" s="317"/>
      <c r="T13" s="317"/>
      <c r="U13" s="317"/>
      <c r="V13" s="317"/>
      <c r="W13" s="318"/>
      <c r="X13" s="318"/>
      <c r="Y13" s="318"/>
      <c r="Z13" s="318"/>
      <c r="AA13" s="319"/>
      <c r="AB13" s="320">
        <f t="shared" si="5"/>
        <v>615</v>
      </c>
      <c r="AC13" s="301">
        <f t="shared" si="6"/>
        <v>583</v>
      </c>
      <c r="AD13" s="321">
        <f t="shared" si="7"/>
        <v>559</v>
      </c>
      <c r="AE13" s="321">
        <f t="shared" si="8"/>
        <v>524</v>
      </c>
      <c r="AF13" s="321">
        <f t="shared" si="9"/>
        <v>500</v>
      </c>
      <c r="AG13" s="321">
        <f t="shared" si="10"/>
        <v>459</v>
      </c>
      <c r="AH13" s="321" t="e">
        <f t="shared" si="3"/>
        <v>#REF!</v>
      </c>
      <c r="AI13" s="321" t="e">
        <f t="shared" si="3"/>
        <v>#REF!</v>
      </c>
      <c r="AJ13" s="321" t="e">
        <f t="shared" si="3"/>
        <v>#REF!</v>
      </c>
      <c r="AK13" s="322" t="e">
        <f t="shared" si="3"/>
        <v>#REF!</v>
      </c>
      <c r="AL13" s="323" t="e">
        <f t="shared" si="3"/>
        <v>#REF!</v>
      </c>
      <c r="AM13" s="324" t="s">
        <v>410</v>
      </c>
      <c r="AO13" s="306">
        <f t="shared" si="11"/>
        <v>0</v>
      </c>
      <c r="AP13" s="306">
        <f t="shared" si="12"/>
        <v>-32</v>
      </c>
      <c r="AQ13" s="306">
        <f t="shared" si="13"/>
        <v>-32</v>
      </c>
      <c r="AR13" s="306">
        <f t="shared" si="14"/>
        <v>-32</v>
      </c>
      <c r="AS13" s="289"/>
      <c r="AT13" s="325">
        <f t="shared" si="15"/>
        <v>-32</v>
      </c>
      <c r="AU13" s="263">
        <f t="shared" si="4"/>
        <v>-24</v>
      </c>
      <c r="AV13" s="263">
        <f t="shared" si="4"/>
        <v>-35</v>
      </c>
      <c r="AW13" s="263">
        <f t="shared" si="4"/>
        <v>-24</v>
      </c>
      <c r="AX13" s="308">
        <f t="shared" si="4"/>
        <v>-41</v>
      </c>
    </row>
    <row r="14" spans="1:50" ht="15.5" x14ac:dyDescent="0.35">
      <c r="A14" s="262"/>
      <c r="B14" s="309">
        <v>4051</v>
      </c>
      <c r="C14" s="310">
        <v>58</v>
      </c>
      <c r="D14" s="330" t="s">
        <v>408</v>
      </c>
      <c r="E14" s="312">
        <v>1</v>
      </c>
      <c r="F14" s="313" t="s">
        <v>411</v>
      </c>
      <c r="G14" s="314">
        <v>412</v>
      </c>
      <c r="H14" s="643">
        <v>398</v>
      </c>
      <c r="I14" s="315">
        <v>373</v>
      </c>
      <c r="J14" s="315">
        <v>351</v>
      </c>
      <c r="K14" s="315">
        <v>332</v>
      </c>
      <c r="L14" s="315">
        <v>314</v>
      </c>
      <c r="M14" s="315" t="e">
        <v>#REF!</v>
      </c>
      <c r="N14" s="315" t="e">
        <v>#REF!</v>
      </c>
      <c r="O14" s="315" t="e">
        <v>#REF!</v>
      </c>
      <c r="P14" s="315" t="e">
        <v>#REF!</v>
      </c>
      <c r="Q14" s="316" t="e">
        <v>#REF!</v>
      </c>
      <c r="R14" s="551">
        <f t="shared" si="1"/>
        <v>402</v>
      </c>
      <c r="S14" s="317"/>
      <c r="T14" s="317"/>
      <c r="U14" s="317"/>
      <c r="V14" s="317"/>
      <c r="W14" s="318"/>
      <c r="X14" s="318"/>
      <c r="Y14" s="318"/>
      <c r="Z14" s="318"/>
      <c r="AA14" s="319"/>
      <c r="AB14" s="320">
        <f t="shared" si="5"/>
        <v>412</v>
      </c>
      <c r="AC14" s="301">
        <f t="shared" si="6"/>
        <v>402</v>
      </c>
      <c r="AD14" s="321">
        <f t="shared" si="7"/>
        <v>377</v>
      </c>
      <c r="AE14" s="321">
        <f t="shared" si="8"/>
        <v>355</v>
      </c>
      <c r="AF14" s="321">
        <f t="shared" si="9"/>
        <v>336</v>
      </c>
      <c r="AG14" s="321">
        <f t="shared" si="10"/>
        <v>318</v>
      </c>
      <c r="AH14" s="321" t="e">
        <f t="shared" si="3"/>
        <v>#REF!</v>
      </c>
      <c r="AI14" s="321" t="e">
        <f t="shared" si="3"/>
        <v>#REF!</v>
      </c>
      <c r="AJ14" s="321" t="e">
        <f t="shared" si="3"/>
        <v>#REF!</v>
      </c>
      <c r="AK14" s="322" t="e">
        <f t="shared" si="3"/>
        <v>#REF!</v>
      </c>
      <c r="AL14" s="323" t="e">
        <f t="shared" si="3"/>
        <v>#REF!</v>
      </c>
      <c r="AM14" s="324" t="s">
        <v>411</v>
      </c>
      <c r="AO14" s="306">
        <f t="shared" si="11"/>
        <v>-4</v>
      </c>
      <c r="AP14" s="306">
        <f t="shared" si="12"/>
        <v>-14</v>
      </c>
      <c r="AQ14" s="306">
        <f t="shared" si="13"/>
        <v>-10</v>
      </c>
      <c r="AR14" s="306">
        <f t="shared" si="14"/>
        <v>-12</v>
      </c>
      <c r="AS14" s="289"/>
      <c r="AT14" s="325">
        <f t="shared" si="15"/>
        <v>-10</v>
      </c>
      <c r="AU14" s="263">
        <f t="shared" si="4"/>
        <v>-25</v>
      </c>
      <c r="AV14" s="263">
        <f t="shared" si="4"/>
        <v>-22</v>
      </c>
      <c r="AW14" s="263">
        <f t="shared" si="4"/>
        <v>-19</v>
      </c>
      <c r="AX14" s="308">
        <f t="shared" si="4"/>
        <v>-18</v>
      </c>
    </row>
    <row r="15" spans="1:50" ht="15.5" x14ac:dyDescent="0.35">
      <c r="A15" s="262"/>
      <c r="B15" s="326">
        <v>1041</v>
      </c>
      <c r="C15" s="327">
        <v>18</v>
      </c>
      <c r="D15" s="328" t="s">
        <v>404</v>
      </c>
      <c r="E15" s="329">
        <v>1</v>
      </c>
      <c r="F15" s="313" t="s">
        <v>412</v>
      </c>
      <c r="G15" s="314">
        <v>511</v>
      </c>
      <c r="H15" s="643">
        <v>540</v>
      </c>
      <c r="I15" s="315">
        <v>575</v>
      </c>
      <c r="J15" s="315">
        <v>598</v>
      </c>
      <c r="K15" s="315">
        <v>621</v>
      </c>
      <c r="L15" s="315">
        <v>642</v>
      </c>
      <c r="M15" s="315" t="e">
        <v>#REF!</v>
      </c>
      <c r="N15" s="315" t="e">
        <v>#REF!</v>
      </c>
      <c r="O15" s="315" t="e">
        <v>#REF!</v>
      </c>
      <c r="P15" s="315" t="e">
        <v>#REF!</v>
      </c>
      <c r="Q15" s="316" t="e">
        <v>#REF!</v>
      </c>
      <c r="R15" s="551">
        <f t="shared" si="1"/>
        <v>472</v>
      </c>
      <c r="S15" s="317"/>
      <c r="T15" s="317"/>
      <c r="U15" s="317"/>
      <c r="V15" s="317"/>
      <c r="W15" s="318"/>
      <c r="X15" s="318"/>
      <c r="Y15" s="318"/>
      <c r="Z15" s="318"/>
      <c r="AA15" s="319"/>
      <c r="AB15" s="320">
        <f t="shared" si="5"/>
        <v>511</v>
      </c>
      <c r="AC15" s="301">
        <f t="shared" si="6"/>
        <v>472</v>
      </c>
      <c r="AD15" s="321">
        <f t="shared" si="7"/>
        <v>507</v>
      </c>
      <c r="AE15" s="321">
        <f t="shared" si="8"/>
        <v>530</v>
      </c>
      <c r="AF15" s="321">
        <f t="shared" si="9"/>
        <v>553</v>
      </c>
      <c r="AG15" s="321">
        <f t="shared" si="10"/>
        <v>574</v>
      </c>
      <c r="AH15" s="321" t="e">
        <f t="shared" si="3"/>
        <v>#REF!</v>
      </c>
      <c r="AI15" s="321" t="e">
        <f t="shared" si="3"/>
        <v>#REF!</v>
      </c>
      <c r="AJ15" s="321" t="e">
        <f t="shared" si="3"/>
        <v>#REF!</v>
      </c>
      <c r="AK15" s="322" t="e">
        <f t="shared" si="3"/>
        <v>#REF!</v>
      </c>
      <c r="AL15" s="323" t="e">
        <f t="shared" si="3"/>
        <v>#REF!</v>
      </c>
      <c r="AM15" s="324" t="s">
        <v>412</v>
      </c>
      <c r="AO15" s="306">
        <f t="shared" si="11"/>
        <v>68</v>
      </c>
      <c r="AP15" s="306">
        <f t="shared" si="12"/>
        <v>29</v>
      </c>
      <c r="AQ15" s="306">
        <f t="shared" si="13"/>
        <v>-39</v>
      </c>
      <c r="AR15" s="306">
        <f t="shared" si="14"/>
        <v>-5</v>
      </c>
      <c r="AS15" s="289"/>
      <c r="AT15" s="325">
        <f t="shared" si="15"/>
        <v>-39</v>
      </c>
      <c r="AU15" s="263">
        <f t="shared" si="4"/>
        <v>35</v>
      </c>
      <c r="AV15" s="263">
        <f t="shared" si="4"/>
        <v>23</v>
      </c>
      <c r="AW15" s="263">
        <f t="shared" si="4"/>
        <v>23</v>
      </c>
      <c r="AX15" s="308">
        <f t="shared" si="4"/>
        <v>21</v>
      </c>
    </row>
    <row r="16" spans="1:50" ht="15.5" x14ac:dyDescent="0.35">
      <c r="A16" s="262"/>
      <c r="B16" s="290">
        <v>5031</v>
      </c>
      <c r="C16" s="291">
        <v>65</v>
      </c>
      <c r="D16" s="292" t="s">
        <v>408</v>
      </c>
      <c r="E16" s="262">
        <v>1</v>
      </c>
      <c r="F16" s="313" t="s">
        <v>413</v>
      </c>
      <c r="G16" s="314">
        <v>266</v>
      </c>
      <c r="H16" s="643">
        <v>255</v>
      </c>
      <c r="I16" s="315">
        <v>264</v>
      </c>
      <c r="J16" s="315">
        <v>255</v>
      </c>
      <c r="K16" s="315">
        <v>246</v>
      </c>
      <c r="L16" s="315">
        <v>247</v>
      </c>
      <c r="M16" s="315" t="e">
        <v>#REF!</v>
      </c>
      <c r="N16" s="315" t="e">
        <v>#REF!</v>
      </c>
      <c r="O16" s="315" t="e">
        <v>#REF!</v>
      </c>
      <c r="P16" s="315" t="e">
        <v>#REF!</v>
      </c>
      <c r="Q16" s="316" t="e">
        <v>#REF!</v>
      </c>
      <c r="R16" s="551">
        <f t="shared" si="1"/>
        <v>262</v>
      </c>
      <c r="S16" s="317"/>
      <c r="T16" s="317"/>
      <c r="U16" s="317"/>
      <c r="V16" s="317"/>
      <c r="W16" s="318"/>
      <c r="X16" s="318"/>
      <c r="Y16" s="318"/>
      <c r="Z16" s="318"/>
      <c r="AA16" s="319"/>
      <c r="AB16" s="320">
        <f t="shared" si="5"/>
        <v>266</v>
      </c>
      <c r="AC16" s="301">
        <f t="shared" si="6"/>
        <v>262</v>
      </c>
      <c r="AD16" s="321">
        <f t="shared" si="7"/>
        <v>271</v>
      </c>
      <c r="AE16" s="321">
        <f t="shared" si="8"/>
        <v>262</v>
      </c>
      <c r="AF16" s="321">
        <f t="shared" si="9"/>
        <v>253</v>
      </c>
      <c r="AG16" s="321">
        <f t="shared" si="10"/>
        <v>254</v>
      </c>
      <c r="AH16" s="321" t="e">
        <f t="shared" si="3"/>
        <v>#REF!</v>
      </c>
      <c r="AI16" s="321" t="e">
        <f t="shared" si="3"/>
        <v>#REF!</v>
      </c>
      <c r="AJ16" s="321" t="e">
        <f t="shared" si="3"/>
        <v>#REF!</v>
      </c>
      <c r="AK16" s="322" t="e">
        <f t="shared" si="3"/>
        <v>#REF!</v>
      </c>
      <c r="AL16" s="323" t="e">
        <f t="shared" si="3"/>
        <v>#REF!</v>
      </c>
      <c r="AM16" s="324" t="s">
        <v>413</v>
      </c>
      <c r="AO16" s="306">
        <f t="shared" si="11"/>
        <v>-7</v>
      </c>
      <c r="AP16" s="306">
        <f t="shared" si="12"/>
        <v>-11</v>
      </c>
      <c r="AQ16" s="306">
        <f t="shared" si="13"/>
        <v>-4</v>
      </c>
      <c r="AR16" s="306">
        <f t="shared" si="14"/>
        <v>-8</v>
      </c>
      <c r="AS16" s="289"/>
      <c r="AT16" s="325">
        <f t="shared" si="15"/>
        <v>-4</v>
      </c>
      <c r="AU16" s="263">
        <f t="shared" si="4"/>
        <v>9</v>
      </c>
      <c r="AV16" s="263">
        <f t="shared" si="4"/>
        <v>-9</v>
      </c>
      <c r="AW16" s="263">
        <f t="shared" si="4"/>
        <v>-9</v>
      </c>
      <c r="AX16" s="308">
        <f t="shared" si="4"/>
        <v>1</v>
      </c>
    </row>
    <row r="17" spans="1:50" ht="15.5" x14ac:dyDescent="0.35">
      <c r="A17" s="262"/>
      <c r="B17" s="309">
        <v>4121</v>
      </c>
      <c r="C17" s="310">
        <v>61</v>
      </c>
      <c r="D17" s="311" t="s">
        <v>408</v>
      </c>
      <c r="E17" s="312">
        <v>1</v>
      </c>
      <c r="F17" s="313" t="s">
        <v>414</v>
      </c>
      <c r="G17" s="314">
        <v>591</v>
      </c>
      <c r="H17" s="643">
        <v>575</v>
      </c>
      <c r="I17" s="315">
        <v>546</v>
      </c>
      <c r="J17" s="315">
        <v>530</v>
      </c>
      <c r="K17" s="315">
        <v>500</v>
      </c>
      <c r="L17" s="315">
        <v>493</v>
      </c>
      <c r="M17" s="315" t="e">
        <v>#REF!</v>
      </c>
      <c r="N17" s="315" t="e">
        <v>#REF!</v>
      </c>
      <c r="O17" s="315" t="e">
        <v>#REF!</v>
      </c>
      <c r="P17" s="315" t="e">
        <v>#REF!</v>
      </c>
      <c r="Q17" s="316" t="e">
        <v>#REF!</v>
      </c>
      <c r="R17" s="551">
        <f t="shared" si="1"/>
        <v>581</v>
      </c>
      <c r="S17" s="317"/>
      <c r="T17" s="317"/>
      <c r="U17" s="317"/>
      <c r="V17" s="317"/>
      <c r="W17" s="318"/>
      <c r="X17" s="318"/>
      <c r="Y17" s="318"/>
      <c r="Z17" s="318"/>
      <c r="AA17" s="319"/>
      <c r="AB17" s="320">
        <f t="shared" si="5"/>
        <v>591</v>
      </c>
      <c r="AC17" s="301">
        <f t="shared" si="6"/>
        <v>581</v>
      </c>
      <c r="AD17" s="321">
        <f t="shared" si="7"/>
        <v>552</v>
      </c>
      <c r="AE17" s="321">
        <f t="shared" si="8"/>
        <v>536</v>
      </c>
      <c r="AF17" s="321">
        <f t="shared" si="9"/>
        <v>506</v>
      </c>
      <c r="AG17" s="321">
        <f t="shared" si="10"/>
        <v>499</v>
      </c>
      <c r="AH17" s="321" t="e">
        <f t="shared" si="3"/>
        <v>#REF!</v>
      </c>
      <c r="AI17" s="321" t="e">
        <f t="shared" si="3"/>
        <v>#REF!</v>
      </c>
      <c r="AJ17" s="321" t="e">
        <f t="shared" si="3"/>
        <v>#REF!</v>
      </c>
      <c r="AK17" s="322" t="e">
        <f t="shared" si="3"/>
        <v>#REF!</v>
      </c>
      <c r="AL17" s="323" t="e">
        <f t="shared" si="3"/>
        <v>#REF!</v>
      </c>
      <c r="AM17" s="324" t="s">
        <v>414</v>
      </c>
      <c r="AO17" s="306">
        <f t="shared" si="11"/>
        <v>-6</v>
      </c>
      <c r="AP17" s="306">
        <f t="shared" si="12"/>
        <v>-16</v>
      </c>
      <c r="AQ17" s="306">
        <f t="shared" si="13"/>
        <v>-10</v>
      </c>
      <c r="AR17" s="306">
        <f t="shared" si="14"/>
        <v>-13</v>
      </c>
      <c r="AS17" s="289"/>
      <c r="AT17" s="325">
        <f t="shared" si="15"/>
        <v>-10</v>
      </c>
      <c r="AU17" s="263">
        <f t="shared" si="4"/>
        <v>-29</v>
      </c>
      <c r="AV17" s="263">
        <f t="shared" si="4"/>
        <v>-16</v>
      </c>
      <c r="AW17" s="263">
        <f t="shared" si="4"/>
        <v>-30</v>
      </c>
      <c r="AX17" s="308">
        <f t="shared" si="4"/>
        <v>-7</v>
      </c>
    </row>
    <row r="18" spans="1:50" ht="15.5" x14ac:dyDescent="0.35">
      <c r="A18" s="262"/>
      <c r="B18" s="326">
        <v>191</v>
      </c>
      <c r="C18" s="327">
        <v>14</v>
      </c>
      <c r="D18" s="328" t="s">
        <v>408</v>
      </c>
      <c r="E18" s="329">
        <v>1</v>
      </c>
      <c r="F18" s="331" t="s">
        <v>415</v>
      </c>
      <c r="G18" s="332">
        <v>436</v>
      </c>
      <c r="H18" s="643">
        <v>433</v>
      </c>
      <c r="I18" s="315">
        <v>413</v>
      </c>
      <c r="J18" s="315">
        <v>397</v>
      </c>
      <c r="K18" s="315">
        <v>406</v>
      </c>
      <c r="L18" s="315">
        <v>407</v>
      </c>
      <c r="M18" s="315" t="e">
        <v>#REF!</v>
      </c>
      <c r="N18" s="315" t="e">
        <v>#REF!</v>
      </c>
      <c r="O18" s="315" t="e">
        <v>#REF!</v>
      </c>
      <c r="P18" s="315" t="e">
        <v>#REF!</v>
      </c>
      <c r="Q18" s="316" t="e">
        <v>#REF!</v>
      </c>
      <c r="R18" s="551">
        <f t="shared" si="1"/>
        <v>438</v>
      </c>
      <c r="S18" s="317"/>
      <c r="T18" s="317"/>
      <c r="U18" s="317"/>
      <c r="V18" s="317"/>
      <c r="W18" s="318"/>
      <c r="X18" s="318"/>
      <c r="Y18" s="318"/>
      <c r="Z18" s="318"/>
      <c r="AA18" s="319"/>
      <c r="AB18" s="320">
        <f t="shared" si="5"/>
        <v>436</v>
      </c>
      <c r="AC18" s="301">
        <f t="shared" si="6"/>
        <v>438</v>
      </c>
      <c r="AD18" s="321">
        <f t="shared" si="7"/>
        <v>418</v>
      </c>
      <c r="AE18" s="321">
        <f t="shared" si="8"/>
        <v>402</v>
      </c>
      <c r="AF18" s="321">
        <f t="shared" si="9"/>
        <v>411</v>
      </c>
      <c r="AG18" s="321">
        <f t="shared" si="10"/>
        <v>412</v>
      </c>
      <c r="AH18" s="321" t="e">
        <f t="shared" si="3"/>
        <v>#REF!</v>
      </c>
      <c r="AI18" s="321" t="e">
        <f t="shared" si="3"/>
        <v>#REF!</v>
      </c>
      <c r="AJ18" s="321" t="e">
        <f t="shared" si="3"/>
        <v>#REF!</v>
      </c>
      <c r="AK18" s="322" t="e">
        <f t="shared" si="3"/>
        <v>#REF!</v>
      </c>
      <c r="AL18" s="323" t="e">
        <f t="shared" si="3"/>
        <v>#REF!</v>
      </c>
      <c r="AM18" s="333" t="s">
        <v>415</v>
      </c>
      <c r="AO18" s="306">
        <f t="shared" si="11"/>
        <v>-5</v>
      </c>
      <c r="AP18" s="306">
        <f t="shared" si="12"/>
        <v>-3</v>
      </c>
      <c r="AQ18" s="306">
        <f t="shared" si="13"/>
        <v>2</v>
      </c>
      <c r="AR18" s="306">
        <f t="shared" si="14"/>
        <v>-1</v>
      </c>
      <c r="AS18" s="289"/>
      <c r="AT18" s="325">
        <f t="shared" si="15"/>
        <v>2</v>
      </c>
      <c r="AU18" s="263">
        <f t="shared" si="4"/>
        <v>-20</v>
      </c>
      <c r="AV18" s="263">
        <f t="shared" si="4"/>
        <v>-16</v>
      </c>
      <c r="AW18" s="263">
        <f t="shared" si="4"/>
        <v>9</v>
      </c>
      <c r="AX18" s="308">
        <f t="shared" si="4"/>
        <v>1</v>
      </c>
    </row>
    <row r="19" spans="1:50" ht="15.5" x14ac:dyDescent="0.35">
      <c r="A19" s="262"/>
      <c r="B19" s="290">
        <v>2131</v>
      </c>
      <c r="C19" s="327">
        <v>38</v>
      </c>
      <c r="D19" s="292" t="s">
        <v>406</v>
      </c>
      <c r="E19" s="262">
        <v>1</v>
      </c>
      <c r="F19" s="313" t="s">
        <v>416</v>
      </c>
      <c r="G19" s="314">
        <v>601</v>
      </c>
      <c r="H19" s="643">
        <v>647</v>
      </c>
      <c r="I19" s="315">
        <v>663</v>
      </c>
      <c r="J19" s="315">
        <v>688</v>
      </c>
      <c r="K19" s="315">
        <v>706</v>
      </c>
      <c r="L19" s="315">
        <v>684</v>
      </c>
      <c r="M19" s="315" t="e">
        <v>#REF!</v>
      </c>
      <c r="N19" s="315" t="e">
        <v>#REF!</v>
      </c>
      <c r="O19" s="315" t="e">
        <v>#REF!</v>
      </c>
      <c r="P19" s="315" t="e">
        <v>#REF!</v>
      </c>
      <c r="Q19" s="316" t="e">
        <v>#REF!</v>
      </c>
      <c r="R19" s="551">
        <f t="shared" si="1"/>
        <v>579</v>
      </c>
      <c r="S19" s="317"/>
      <c r="T19" s="317"/>
      <c r="U19" s="317"/>
      <c r="V19" s="317"/>
      <c r="W19" s="318"/>
      <c r="X19" s="318"/>
      <c r="Y19" s="318"/>
      <c r="Z19" s="318"/>
      <c r="AA19" s="319"/>
      <c r="AB19" s="320">
        <f t="shared" si="5"/>
        <v>601</v>
      </c>
      <c r="AC19" s="301">
        <f t="shared" si="6"/>
        <v>579</v>
      </c>
      <c r="AD19" s="321">
        <f t="shared" si="7"/>
        <v>595</v>
      </c>
      <c r="AE19" s="321">
        <f t="shared" si="8"/>
        <v>620</v>
      </c>
      <c r="AF19" s="321">
        <f t="shared" si="9"/>
        <v>638</v>
      </c>
      <c r="AG19" s="321">
        <f t="shared" si="10"/>
        <v>616</v>
      </c>
      <c r="AH19" s="321" t="e">
        <f t="shared" si="3"/>
        <v>#REF!</v>
      </c>
      <c r="AI19" s="321" t="e">
        <f t="shared" si="3"/>
        <v>#REF!</v>
      </c>
      <c r="AJ19" s="321" t="e">
        <f t="shared" si="3"/>
        <v>#REF!</v>
      </c>
      <c r="AK19" s="322" t="e">
        <f t="shared" si="3"/>
        <v>#REF!</v>
      </c>
      <c r="AL19" s="323" t="e">
        <f t="shared" si="3"/>
        <v>#REF!</v>
      </c>
      <c r="AM19" s="324" t="s">
        <v>416</v>
      </c>
      <c r="AO19" s="306">
        <f t="shared" si="11"/>
        <v>68</v>
      </c>
      <c r="AP19" s="306">
        <f t="shared" si="12"/>
        <v>46</v>
      </c>
      <c r="AQ19" s="306">
        <f t="shared" si="13"/>
        <v>-22</v>
      </c>
      <c r="AR19" s="306">
        <f t="shared" si="14"/>
        <v>12</v>
      </c>
      <c r="AS19" s="289"/>
      <c r="AT19" s="325">
        <f t="shared" si="15"/>
        <v>-22</v>
      </c>
      <c r="AU19" s="571">
        <f t="shared" si="4"/>
        <v>16</v>
      </c>
      <c r="AV19" s="571">
        <f t="shared" si="4"/>
        <v>25</v>
      </c>
      <c r="AW19" s="571">
        <f t="shared" si="4"/>
        <v>18</v>
      </c>
      <c r="AX19" s="572">
        <f t="shared" si="4"/>
        <v>-22</v>
      </c>
    </row>
    <row r="20" spans="1:50" ht="15.5" x14ac:dyDescent="0.35">
      <c r="A20" s="262"/>
      <c r="B20" s="309">
        <v>91</v>
      </c>
      <c r="C20" s="310">
        <v>6</v>
      </c>
      <c r="D20" s="311" t="s">
        <v>408</v>
      </c>
      <c r="E20" s="312">
        <v>1</v>
      </c>
      <c r="F20" s="313" t="s">
        <v>417</v>
      </c>
      <c r="G20" s="314">
        <v>473</v>
      </c>
      <c r="H20" s="643">
        <v>472</v>
      </c>
      <c r="I20" s="315">
        <v>479</v>
      </c>
      <c r="J20" s="315">
        <v>472</v>
      </c>
      <c r="K20" s="315">
        <v>477</v>
      </c>
      <c r="L20" s="315">
        <v>483</v>
      </c>
      <c r="M20" s="315" t="e">
        <v>#REF!</v>
      </c>
      <c r="N20" s="315" t="e">
        <v>#REF!</v>
      </c>
      <c r="O20" s="315" t="e">
        <v>#REF!</v>
      </c>
      <c r="P20" s="315" t="e">
        <v>#REF!</v>
      </c>
      <c r="Q20" s="316" t="e">
        <v>#REF!</v>
      </c>
      <c r="R20" s="551">
        <f t="shared" si="1"/>
        <v>442</v>
      </c>
      <c r="S20" s="317"/>
      <c r="T20" s="317"/>
      <c r="U20" s="317"/>
      <c r="V20" s="317"/>
      <c r="W20" s="318"/>
      <c r="X20" s="318"/>
      <c r="Y20" s="318"/>
      <c r="Z20" s="318"/>
      <c r="AA20" s="319"/>
      <c r="AB20" s="320">
        <f t="shared" si="5"/>
        <v>473</v>
      </c>
      <c r="AC20" s="301">
        <f t="shared" si="6"/>
        <v>442</v>
      </c>
      <c r="AD20" s="321">
        <f t="shared" si="7"/>
        <v>449</v>
      </c>
      <c r="AE20" s="321">
        <f t="shared" si="8"/>
        <v>442</v>
      </c>
      <c r="AF20" s="321">
        <f t="shared" si="9"/>
        <v>447</v>
      </c>
      <c r="AG20" s="321">
        <f t="shared" si="10"/>
        <v>453</v>
      </c>
      <c r="AH20" s="321" t="e">
        <f t="shared" si="3"/>
        <v>#REF!</v>
      </c>
      <c r="AI20" s="321" t="e">
        <f t="shared" si="3"/>
        <v>#REF!</v>
      </c>
      <c r="AJ20" s="321" t="e">
        <f t="shared" si="3"/>
        <v>#REF!</v>
      </c>
      <c r="AK20" s="322" t="e">
        <f t="shared" si="3"/>
        <v>#REF!</v>
      </c>
      <c r="AL20" s="323" t="e">
        <f t="shared" si="3"/>
        <v>#REF!</v>
      </c>
      <c r="AM20" s="324" t="s">
        <v>417</v>
      </c>
      <c r="AO20" s="306">
        <f t="shared" si="11"/>
        <v>30</v>
      </c>
      <c r="AP20" s="306">
        <f t="shared" si="12"/>
        <v>-1</v>
      </c>
      <c r="AQ20" s="306">
        <f t="shared" si="13"/>
        <v>-31</v>
      </c>
      <c r="AR20" s="306">
        <f t="shared" si="14"/>
        <v>-16</v>
      </c>
      <c r="AS20" s="289"/>
      <c r="AT20" s="325">
        <f t="shared" si="15"/>
        <v>-31</v>
      </c>
      <c r="AU20" s="263">
        <f t="shared" si="4"/>
        <v>7</v>
      </c>
      <c r="AV20" s="263">
        <f t="shared" si="4"/>
        <v>-7</v>
      </c>
      <c r="AW20" s="263">
        <f t="shared" si="4"/>
        <v>5</v>
      </c>
      <c r="AX20" s="308">
        <f t="shared" si="4"/>
        <v>6</v>
      </c>
    </row>
    <row r="21" spans="1:50" ht="15.5" x14ac:dyDescent="0.35">
      <c r="A21" s="262"/>
      <c r="B21" s="326">
        <v>6141</v>
      </c>
      <c r="C21" s="327">
        <v>75</v>
      </c>
      <c r="D21" s="328" t="s">
        <v>404</v>
      </c>
      <c r="E21" s="329">
        <v>1</v>
      </c>
      <c r="F21" s="313" t="s">
        <v>418</v>
      </c>
      <c r="G21" s="314">
        <v>476</v>
      </c>
      <c r="H21" s="643">
        <v>459</v>
      </c>
      <c r="I21" s="315">
        <v>444</v>
      </c>
      <c r="J21" s="315">
        <v>437</v>
      </c>
      <c r="K21" s="315">
        <v>413</v>
      </c>
      <c r="L21" s="315">
        <v>411</v>
      </c>
      <c r="M21" s="315" t="e">
        <v>#REF!</v>
      </c>
      <c r="N21" s="315" t="e">
        <v>#REF!</v>
      </c>
      <c r="O21" s="315" t="e">
        <v>#REF!</v>
      </c>
      <c r="P21" s="315" t="e">
        <v>#REF!</v>
      </c>
      <c r="Q21" s="316" t="e">
        <v>#REF!</v>
      </c>
      <c r="R21" s="551">
        <f t="shared" si="1"/>
        <v>408</v>
      </c>
      <c r="S21" s="317"/>
      <c r="T21" s="317"/>
      <c r="U21" s="317"/>
      <c r="V21" s="317"/>
      <c r="W21" s="318"/>
      <c r="X21" s="318"/>
      <c r="Y21" s="318"/>
      <c r="Z21" s="318"/>
      <c r="AA21" s="319"/>
      <c r="AB21" s="320">
        <f t="shared" si="5"/>
        <v>476</v>
      </c>
      <c r="AC21" s="301">
        <f t="shared" si="6"/>
        <v>408</v>
      </c>
      <c r="AD21" s="321">
        <f t="shared" si="7"/>
        <v>393</v>
      </c>
      <c r="AE21" s="321">
        <f t="shared" si="8"/>
        <v>386</v>
      </c>
      <c r="AF21" s="321">
        <f t="shared" si="9"/>
        <v>362</v>
      </c>
      <c r="AG21" s="321">
        <f t="shared" si="10"/>
        <v>360</v>
      </c>
      <c r="AH21" s="321" t="e">
        <f t="shared" si="3"/>
        <v>#REF!</v>
      </c>
      <c r="AI21" s="321" t="e">
        <f t="shared" si="3"/>
        <v>#REF!</v>
      </c>
      <c r="AJ21" s="321" t="e">
        <f t="shared" si="3"/>
        <v>#REF!</v>
      </c>
      <c r="AK21" s="322" t="e">
        <f t="shared" si="3"/>
        <v>#REF!</v>
      </c>
      <c r="AL21" s="323" t="e">
        <f t="shared" si="3"/>
        <v>#REF!</v>
      </c>
      <c r="AM21" s="324" t="s">
        <v>418</v>
      </c>
      <c r="AO21" s="306">
        <f t="shared" si="11"/>
        <v>51</v>
      </c>
      <c r="AP21" s="306">
        <f t="shared" si="12"/>
        <v>-17</v>
      </c>
      <c r="AQ21" s="306">
        <f t="shared" si="13"/>
        <v>-68</v>
      </c>
      <c r="AR21" s="306">
        <f t="shared" si="14"/>
        <v>-43</v>
      </c>
      <c r="AS21" s="289"/>
      <c r="AT21" s="325">
        <f t="shared" si="15"/>
        <v>-68</v>
      </c>
      <c r="AU21" s="263">
        <f t="shared" si="4"/>
        <v>-15</v>
      </c>
      <c r="AV21" s="263">
        <f t="shared" si="4"/>
        <v>-7</v>
      </c>
      <c r="AW21" s="263">
        <f t="shared" si="4"/>
        <v>-24</v>
      </c>
      <c r="AX21" s="308">
        <f t="shared" si="4"/>
        <v>-2</v>
      </c>
    </row>
    <row r="22" spans="1:50" ht="15.5" x14ac:dyDescent="0.35">
      <c r="A22" s="262"/>
      <c r="B22" s="290">
        <v>3091</v>
      </c>
      <c r="C22" s="291">
        <v>51</v>
      </c>
      <c r="D22" s="292" t="s">
        <v>404</v>
      </c>
      <c r="E22" s="262">
        <v>1</v>
      </c>
      <c r="F22" s="313" t="s">
        <v>419</v>
      </c>
      <c r="G22" s="314">
        <v>444</v>
      </c>
      <c r="H22" s="643">
        <v>464</v>
      </c>
      <c r="I22" s="315">
        <v>472</v>
      </c>
      <c r="J22" s="315">
        <v>476</v>
      </c>
      <c r="K22" s="315">
        <v>489</v>
      </c>
      <c r="L22" s="315">
        <v>483</v>
      </c>
      <c r="M22" s="315" t="e">
        <v>#REF!</v>
      </c>
      <c r="N22" s="315" t="e">
        <v>#REF!</v>
      </c>
      <c r="O22" s="315" t="e">
        <v>#REF!</v>
      </c>
      <c r="P22" s="315" t="e">
        <v>#REF!</v>
      </c>
      <c r="Q22" s="316" t="e">
        <v>#REF!</v>
      </c>
      <c r="R22" s="551">
        <f t="shared" si="1"/>
        <v>409</v>
      </c>
      <c r="S22" s="317"/>
      <c r="T22" s="317"/>
      <c r="U22" s="317"/>
      <c r="V22" s="317"/>
      <c r="W22" s="318"/>
      <c r="X22" s="318"/>
      <c r="Y22" s="318"/>
      <c r="Z22" s="318"/>
      <c r="AA22" s="319"/>
      <c r="AB22" s="320">
        <f t="shared" si="5"/>
        <v>444</v>
      </c>
      <c r="AC22" s="301">
        <f t="shared" si="6"/>
        <v>409</v>
      </c>
      <c r="AD22" s="321">
        <f t="shared" si="7"/>
        <v>417</v>
      </c>
      <c r="AE22" s="321">
        <f t="shared" si="8"/>
        <v>421</v>
      </c>
      <c r="AF22" s="321">
        <f t="shared" si="9"/>
        <v>434</v>
      </c>
      <c r="AG22" s="321">
        <f t="shared" si="10"/>
        <v>428</v>
      </c>
      <c r="AH22" s="321" t="e">
        <f t="shared" si="3"/>
        <v>#REF!</v>
      </c>
      <c r="AI22" s="321" t="e">
        <f t="shared" si="3"/>
        <v>#REF!</v>
      </c>
      <c r="AJ22" s="321" t="e">
        <f t="shared" si="3"/>
        <v>#REF!</v>
      </c>
      <c r="AK22" s="322" t="e">
        <f t="shared" si="3"/>
        <v>#REF!</v>
      </c>
      <c r="AL22" s="323" t="e">
        <f t="shared" si="3"/>
        <v>#REF!</v>
      </c>
      <c r="AM22" s="324" t="s">
        <v>419</v>
      </c>
      <c r="AO22" s="306">
        <f t="shared" si="11"/>
        <v>55</v>
      </c>
      <c r="AP22" s="306">
        <f t="shared" si="12"/>
        <v>20</v>
      </c>
      <c r="AQ22" s="306">
        <f t="shared" si="13"/>
        <v>-35</v>
      </c>
      <c r="AR22" s="306">
        <f t="shared" si="14"/>
        <v>-8</v>
      </c>
      <c r="AS22" s="289"/>
      <c r="AT22" s="325">
        <f t="shared" si="15"/>
        <v>-35</v>
      </c>
      <c r="AU22" s="263">
        <f t="shared" si="4"/>
        <v>8</v>
      </c>
      <c r="AV22" s="263">
        <f t="shared" si="4"/>
        <v>4</v>
      </c>
      <c r="AW22" s="263">
        <f t="shared" si="4"/>
        <v>13</v>
      </c>
      <c r="AX22" s="308">
        <f t="shared" si="4"/>
        <v>-6</v>
      </c>
    </row>
    <row r="23" spans="1:50" ht="15.5" x14ac:dyDescent="0.35">
      <c r="A23" s="262"/>
      <c r="B23" s="309">
        <v>2151</v>
      </c>
      <c r="C23" s="310">
        <v>39</v>
      </c>
      <c r="D23" s="311" t="s">
        <v>406</v>
      </c>
      <c r="E23" s="312">
        <v>1</v>
      </c>
      <c r="F23" s="313" t="s">
        <v>420</v>
      </c>
      <c r="G23" s="314">
        <v>682</v>
      </c>
      <c r="H23" s="643">
        <v>672</v>
      </c>
      <c r="I23" s="318">
        <v>676</v>
      </c>
      <c r="J23" s="318">
        <v>652</v>
      </c>
      <c r="K23" s="656">
        <v>674</v>
      </c>
      <c r="L23" s="656">
        <v>696</v>
      </c>
      <c r="M23" s="315" t="e">
        <v>#REF!</v>
      </c>
      <c r="N23" s="315" t="e">
        <v>#REF!</v>
      </c>
      <c r="O23" s="315" t="e">
        <v>#REF!</v>
      </c>
      <c r="P23" s="315" t="e">
        <v>#REF!</v>
      </c>
      <c r="Q23" s="316" t="e">
        <v>#REF!</v>
      </c>
      <c r="R23" s="551">
        <f t="shared" si="1"/>
        <v>680</v>
      </c>
      <c r="S23" s="317"/>
      <c r="T23" s="317"/>
      <c r="U23" s="317"/>
      <c r="V23" s="317"/>
      <c r="W23" s="318"/>
      <c r="X23" s="318"/>
      <c r="Y23" s="318"/>
      <c r="Z23" s="318"/>
      <c r="AA23" s="319"/>
      <c r="AB23" s="320">
        <f t="shared" si="5"/>
        <v>682</v>
      </c>
      <c r="AC23" s="301">
        <f t="shared" si="6"/>
        <v>680</v>
      </c>
      <c r="AD23" s="321">
        <f t="shared" si="7"/>
        <v>684</v>
      </c>
      <c r="AE23" s="321">
        <f t="shared" si="8"/>
        <v>660</v>
      </c>
      <c r="AF23" s="321">
        <f t="shared" si="9"/>
        <v>682</v>
      </c>
      <c r="AG23" s="321">
        <f t="shared" si="10"/>
        <v>704</v>
      </c>
      <c r="AH23" s="321" t="e">
        <f t="shared" si="3"/>
        <v>#REF!</v>
      </c>
      <c r="AI23" s="321" t="e">
        <f t="shared" si="3"/>
        <v>#REF!</v>
      </c>
      <c r="AJ23" s="321" t="e">
        <f t="shared" si="3"/>
        <v>#REF!</v>
      </c>
      <c r="AK23" s="322" t="e">
        <f t="shared" si="3"/>
        <v>#REF!</v>
      </c>
      <c r="AL23" s="323" t="e">
        <f t="shared" si="3"/>
        <v>#REF!</v>
      </c>
      <c r="AM23" s="324" t="s">
        <v>420</v>
      </c>
      <c r="AO23" s="306">
        <f t="shared" si="11"/>
        <v>-8</v>
      </c>
      <c r="AP23" s="306">
        <f t="shared" si="12"/>
        <v>-10</v>
      </c>
      <c r="AQ23" s="306">
        <f t="shared" si="13"/>
        <v>-2</v>
      </c>
      <c r="AR23" s="306">
        <f t="shared" si="14"/>
        <v>-6</v>
      </c>
      <c r="AS23" s="289"/>
      <c r="AT23" s="325">
        <f t="shared" si="15"/>
        <v>-2</v>
      </c>
      <c r="AU23" s="263">
        <f t="shared" si="4"/>
        <v>4</v>
      </c>
      <c r="AV23" s="263">
        <f t="shared" si="4"/>
        <v>-24</v>
      </c>
      <c r="AW23" s="263">
        <f t="shared" si="4"/>
        <v>22</v>
      </c>
      <c r="AX23" s="308">
        <f t="shared" si="4"/>
        <v>22</v>
      </c>
    </row>
    <row r="24" spans="1:50" ht="15.5" x14ac:dyDescent="0.35">
      <c r="A24" s="262"/>
      <c r="B24" s="326">
        <v>1051</v>
      </c>
      <c r="C24" s="327">
        <v>19</v>
      </c>
      <c r="D24" s="328" t="s">
        <v>404</v>
      </c>
      <c r="E24" s="329">
        <v>1</v>
      </c>
      <c r="F24" s="313" t="s">
        <v>421</v>
      </c>
      <c r="G24" s="314">
        <v>693</v>
      </c>
      <c r="H24" s="643">
        <v>679</v>
      </c>
      <c r="I24" s="315">
        <v>671</v>
      </c>
      <c r="J24" s="315">
        <v>624</v>
      </c>
      <c r="K24" s="315">
        <v>576</v>
      </c>
      <c r="L24" s="315">
        <v>551</v>
      </c>
      <c r="M24" s="315" t="e">
        <v>#REF!</v>
      </c>
      <c r="N24" s="315" t="e">
        <v>#REF!</v>
      </c>
      <c r="O24" s="315" t="e">
        <v>#REF!</v>
      </c>
      <c r="P24" s="315" t="e">
        <v>#REF!</v>
      </c>
      <c r="Q24" s="316" t="e">
        <v>#REF!</v>
      </c>
      <c r="R24" s="551">
        <f t="shared" si="1"/>
        <v>679</v>
      </c>
      <c r="S24" s="317"/>
      <c r="T24" s="317"/>
      <c r="U24" s="317"/>
      <c r="V24" s="317"/>
      <c r="W24" s="318"/>
      <c r="X24" s="318"/>
      <c r="Y24" s="318"/>
      <c r="Z24" s="318"/>
      <c r="AA24" s="319"/>
      <c r="AB24" s="320">
        <f t="shared" si="5"/>
        <v>693</v>
      </c>
      <c r="AC24" s="301">
        <f t="shared" si="6"/>
        <v>679</v>
      </c>
      <c r="AD24" s="321">
        <f t="shared" si="7"/>
        <v>671</v>
      </c>
      <c r="AE24" s="321">
        <f t="shared" si="8"/>
        <v>624</v>
      </c>
      <c r="AF24" s="321">
        <f t="shared" si="9"/>
        <v>576</v>
      </c>
      <c r="AG24" s="321">
        <f t="shared" si="10"/>
        <v>551</v>
      </c>
      <c r="AH24" s="321" t="e">
        <f t="shared" si="3"/>
        <v>#REF!</v>
      </c>
      <c r="AI24" s="321" t="e">
        <f t="shared" si="3"/>
        <v>#REF!</v>
      </c>
      <c r="AJ24" s="321" t="e">
        <f t="shared" si="3"/>
        <v>#REF!</v>
      </c>
      <c r="AK24" s="322" t="e">
        <f t="shared" si="3"/>
        <v>#REF!</v>
      </c>
      <c r="AL24" s="323" t="e">
        <f t="shared" si="3"/>
        <v>#REF!</v>
      </c>
      <c r="AM24" s="324" t="s">
        <v>421</v>
      </c>
      <c r="AO24" s="306">
        <f t="shared" si="11"/>
        <v>0</v>
      </c>
      <c r="AP24" s="306">
        <f t="shared" si="12"/>
        <v>-14</v>
      </c>
      <c r="AQ24" s="306">
        <f t="shared" si="13"/>
        <v>-14</v>
      </c>
      <c r="AR24" s="306">
        <f t="shared" si="14"/>
        <v>-14</v>
      </c>
      <c r="AS24" s="289"/>
      <c r="AT24" s="325">
        <f t="shared" si="15"/>
        <v>-14</v>
      </c>
      <c r="AU24" s="263">
        <f t="shared" si="4"/>
        <v>-8</v>
      </c>
      <c r="AV24" s="263">
        <f t="shared" si="4"/>
        <v>-47</v>
      </c>
      <c r="AW24" s="263">
        <f t="shared" si="4"/>
        <v>-48</v>
      </c>
      <c r="AX24" s="308">
        <f t="shared" si="4"/>
        <v>-25</v>
      </c>
    </row>
    <row r="25" spans="1:50" ht="15.5" x14ac:dyDescent="0.35">
      <c r="A25" s="262"/>
      <c r="B25" s="290">
        <v>301</v>
      </c>
      <c r="C25" s="291">
        <v>90</v>
      </c>
      <c r="D25" s="292" t="s">
        <v>408</v>
      </c>
      <c r="E25" s="262">
        <v>1</v>
      </c>
      <c r="F25" s="313" t="s">
        <v>422</v>
      </c>
      <c r="G25" s="314">
        <v>598</v>
      </c>
      <c r="H25" s="643">
        <v>577</v>
      </c>
      <c r="I25" s="315">
        <v>568</v>
      </c>
      <c r="J25" s="315">
        <v>553</v>
      </c>
      <c r="K25" s="315">
        <v>546</v>
      </c>
      <c r="L25" s="315">
        <v>530</v>
      </c>
      <c r="M25" s="315" t="e">
        <v>#REF!</v>
      </c>
      <c r="N25" s="315" t="e">
        <v>#REF!</v>
      </c>
      <c r="O25" s="315" t="e">
        <v>#REF!</v>
      </c>
      <c r="P25" s="315" t="e">
        <v>#REF!</v>
      </c>
      <c r="Q25" s="316" t="e">
        <v>#REF!</v>
      </c>
      <c r="R25" s="551">
        <f t="shared" si="1"/>
        <v>577</v>
      </c>
      <c r="S25" s="317"/>
      <c r="T25" s="317"/>
      <c r="U25" s="317"/>
      <c r="V25" s="317"/>
      <c r="W25" s="318"/>
      <c r="X25" s="318"/>
      <c r="Y25" s="318"/>
      <c r="Z25" s="318"/>
      <c r="AA25" s="319"/>
      <c r="AB25" s="320">
        <f t="shared" si="5"/>
        <v>598</v>
      </c>
      <c r="AC25" s="301">
        <f t="shared" si="6"/>
        <v>577</v>
      </c>
      <c r="AD25" s="321">
        <f t="shared" si="7"/>
        <v>568</v>
      </c>
      <c r="AE25" s="321">
        <f t="shared" si="8"/>
        <v>553</v>
      </c>
      <c r="AF25" s="321">
        <f t="shared" si="9"/>
        <v>546</v>
      </c>
      <c r="AG25" s="321">
        <f t="shared" si="10"/>
        <v>530</v>
      </c>
      <c r="AH25" s="321" t="e">
        <f t="shared" si="3"/>
        <v>#REF!</v>
      </c>
      <c r="AI25" s="321" t="e">
        <f t="shared" si="3"/>
        <v>#REF!</v>
      </c>
      <c r="AJ25" s="321" t="e">
        <f t="shared" si="3"/>
        <v>#REF!</v>
      </c>
      <c r="AK25" s="322" t="e">
        <f t="shared" si="3"/>
        <v>#REF!</v>
      </c>
      <c r="AL25" s="323" t="e">
        <f t="shared" si="3"/>
        <v>#REF!</v>
      </c>
      <c r="AM25" s="324" t="s">
        <v>422</v>
      </c>
      <c r="AO25" s="306">
        <f t="shared" si="11"/>
        <v>0</v>
      </c>
      <c r="AP25" s="306">
        <f t="shared" si="12"/>
        <v>-21</v>
      </c>
      <c r="AQ25" s="306">
        <f t="shared" si="13"/>
        <v>-21</v>
      </c>
      <c r="AR25" s="306">
        <f t="shared" si="14"/>
        <v>-21</v>
      </c>
      <c r="AS25" s="289"/>
      <c r="AT25" s="325">
        <f t="shared" si="15"/>
        <v>-21</v>
      </c>
      <c r="AU25" s="263">
        <f t="shared" si="15"/>
        <v>-9</v>
      </c>
      <c r="AV25" s="263">
        <f t="shared" si="15"/>
        <v>-15</v>
      </c>
      <c r="AW25" s="263">
        <f t="shared" si="15"/>
        <v>-7</v>
      </c>
      <c r="AX25" s="308">
        <f t="shared" si="15"/>
        <v>-16</v>
      </c>
    </row>
    <row r="26" spans="1:50" ht="15.5" x14ac:dyDescent="0.35">
      <c r="A26" s="262"/>
      <c r="B26" s="309">
        <v>1091</v>
      </c>
      <c r="C26" s="310">
        <v>22</v>
      </c>
      <c r="D26" s="311" t="s">
        <v>404</v>
      </c>
      <c r="E26" s="312">
        <v>1</v>
      </c>
      <c r="F26" s="313" t="s">
        <v>423</v>
      </c>
      <c r="G26" s="314">
        <v>469</v>
      </c>
      <c r="H26" s="643">
        <v>481</v>
      </c>
      <c r="I26" s="315">
        <v>470</v>
      </c>
      <c r="J26" s="315">
        <v>457</v>
      </c>
      <c r="K26" s="315">
        <v>449</v>
      </c>
      <c r="L26" s="315">
        <v>439</v>
      </c>
      <c r="M26" s="315" t="e">
        <v>#REF!</v>
      </c>
      <c r="N26" s="315" t="e">
        <v>#REF!</v>
      </c>
      <c r="O26" s="315" t="e">
        <v>#REF!</v>
      </c>
      <c r="P26" s="315" t="e">
        <v>#REF!</v>
      </c>
      <c r="Q26" s="316" t="e">
        <v>#REF!</v>
      </c>
      <c r="R26" s="551">
        <f t="shared" si="1"/>
        <v>489</v>
      </c>
      <c r="S26" s="317"/>
      <c r="T26" s="317"/>
      <c r="U26" s="317"/>
      <c r="V26" s="317"/>
      <c r="W26" s="318"/>
      <c r="X26" s="318"/>
      <c r="Y26" s="318"/>
      <c r="Z26" s="318"/>
      <c r="AA26" s="319"/>
      <c r="AB26" s="320">
        <f t="shared" si="5"/>
        <v>469</v>
      </c>
      <c r="AC26" s="301">
        <f t="shared" si="6"/>
        <v>489</v>
      </c>
      <c r="AD26" s="321">
        <f t="shared" si="7"/>
        <v>478</v>
      </c>
      <c r="AE26" s="321">
        <f t="shared" si="8"/>
        <v>465</v>
      </c>
      <c r="AF26" s="321">
        <f t="shared" si="9"/>
        <v>457</v>
      </c>
      <c r="AG26" s="321">
        <f t="shared" si="10"/>
        <v>447</v>
      </c>
      <c r="AH26" s="321" t="e">
        <f t="shared" ref="AH26:AL41" si="16">(M26-L26)+AG26</f>
        <v>#REF!</v>
      </c>
      <c r="AI26" s="321" t="e">
        <f t="shared" si="16"/>
        <v>#REF!</v>
      </c>
      <c r="AJ26" s="321" t="e">
        <f t="shared" si="16"/>
        <v>#REF!</v>
      </c>
      <c r="AK26" s="322" t="e">
        <f t="shared" si="16"/>
        <v>#REF!</v>
      </c>
      <c r="AL26" s="323" t="e">
        <f t="shared" si="16"/>
        <v>#REF!</v>
      </c>
      <c r="AM26" s="324" t="s">
        <v>423</v>
      </c>
      <c r="AO26" s="306">
        <f t="shared" si="11"/>
        <v>-8</v>
      </c>
      <c r="AP26" s="306">
        <f t="shared" si="12"/>
        <v>12</v>
      </c>
      <c r="AQ26" s="306">
        <f t="shared" si="13"/>
        <v>20</v>
      </c>
      <c r="AR26" s="306">
        <f t="shared" si="14"/>
        <v>16</v>
      </c>
      <c r="AS26" s="289"/>
      <c r="AT26" s="325">
        <f t="shared" si="15"/>
        <v>20</v>
      </c>
      <c r="AU26" s="263">
        <f t="shared" si="15"/>
        <v>-11</v>
      </c>
      <c r="AV26" s="263">
        <f t="shared" si="15"/>
        <v>-13</v>
      </c>
      <c r="AW26" s="263">
        <f t="shared" si="15"/>
        <v>-8</v>
      </c>
      <c r="AX26" s="308">
        <f t="shared" si="15"/>
        <v>-10</v>
      </c>
    </row>
    <row r="27" spans="1:50" ht="15.5" x14ac:dyDescent="0.35">
      <c r="A27" s="262"/>
      <c r="B27" s="326">
        <v>5021</v>
      </c>
      <c r="C27" s="327">
        <v>64</v>
      </c>
      <c r="D27" s="328" t="s">
        <v>408</v>
      </c>
      <c r="E27" s="329">
        <v>1</v>
      </c>
      <c r="F27" s="334" t="s">
        <v>424</v>
      </c>
      <c r="G27" s="314">
        <v>410</v>
      </c>
      <c r="H27" s="643">
        <v>410</v>
      </c>
      <c r="I27" s="315">
        <v>410</v>
      </c>
      <c r="J27" s="315">
        <v>410</v>
      </c>
      <c r="K27" s="315">
        <v>410</v>
      </c>
      <c r="L27" s="315">
        <v>410</v>
      </c>
      <c r="M27" s="315" t="e">
        <v>#REF!</v>
      </c>
      <c r="N27" s="315" t="e">
        <v>#REF!</v>
      </c>
      <c r="O27" s="315" t="e">
        <v>#REF!</v>
      </c>
      <c r="P27" s="315" t="e">
        <v>#REF!</v>
      </c>
      <c r="Q27" s="316" t="e">
        <v>#REF!</v>
      </c>
      <c r="R27" s="551">
        <f t="shared" si="1"/>
        <v>410</v>
      </c>
      <c r="S27" s="317"/>
      <c r="T27" s="317"/>
      <c r="U27" s="317"/>
      <c r="V27" s="317"/>
      <c r="W27" s="318"/>
      <c r="X27" s="318"/>
      <c r="Y27" s="318"/>
      <c r="Z27" s="318"/>
      <c r="AA27" s="319"/>
      <c r="AB27" s="320">
        <f t="shared" si="5"/>
        <v>410</v>
      </c>
      <c r="AC27" s="301">
        <f t="shared" si="6"/>
        <v>410</v>
      </c>
      <c r="AD27" s="321">
        <f t="shared" si="7"/>
        <v>410</v>
      </c>
      <c r="AE27" s="321">
        <f t="shared" si="8"/>
        <v>410</v>
      </c>
      <c r="AF27" s="321">
        <f t="shared" si="9"/>
        <v>410</v>
      </c>
      <c r="AG27" s="321">
        <f t="shared" si="10"/>
        <v>410</v>
      </c>
      <c r="AH27" s="321" t="e">
        <f t="shared" si="16"/>
        <v>#REF!</v>
      </c>
      <c r="AI27" s="321" t="e">
        <f t="shared" si="16"/>
        <v>#REF!</v>
      </c>
      <c r="AJ27" s="321" t="e">
        <f t="shared" si="16"/>
        <v>#REF!</v>
      </c>
      <c r="AK27" s="322" t="e">
        <f t="shared" si="16"/>
        <v>#REF!</v>
      </c>
      <c r="AL27" s="323" t="e">
        <f t="shared" si="16"/>
        <v>#REF!</v>
      </c>
      <c r="AM27" s="335" t="s">
        <v>424</v>
      </c>
      <c r="AO27" s="306">
        <f t="shared" si="11"/>
        <v>0</v>
      </c>
      <c r="AP27" s="306">
        <f t="shared" si="12"/>
        <v>0</v>
      </c>
      <c r="AQ27" s="306">
        <f t="shared" si="13"/>
        <v>0</v>
      </c>
      <c r="AR27" s="306">
        <f t="shared" si="14"/>
        <v>0</v>
      </c>
      <c r="AS27" s="289"/>
      <c r="AT27" s="325">
        <f t="shared" si="15"/>
        <v>0</v>
      </c>
      <c r="AU27" s="263">
        <f t="shared" si="15"/>
        <v>0</v>
      </c>
      <c r="AV27" s="263">
        <f t="shared" si="15"/>
        <v>0</v>
      </c>
      <c r="AW27" s="263">
        <f t="shared" si="15"/>
        <v>0</v>
      </c>
      <c r="AX27" s="308">
        <f t="shared" si="15"/>
        <v>0</v>
      </c>
    </row>
    <row r="28" spans="1:50" ht="15.5" x14ac:dyDescent="0.35">
      <c r="A28" s="262"/>
      <c r="B28" s="309">
        <v>6101</v>
      </c>
      <c r="C28" s="310">
        <v>74</v>
      </c>
      <c r="D28" s="311" t="s">
        <v>406</v>
      </c>
      <c r="E28" s="312">
        <v>1</v>
      </c>
      <c r="F28" s="313" t="s">
        <v>425</v>
      </c>
      <c r="G28" s="314">
        <v>394</v>
      </c>
      <c r="H28" s="643">
        <v>367</v>
      </c>
      <c r="I28" s="315">
        <v>348</v>
      </c>
      <c r="J28" s="315">
        <v>333</v>
      </c>
      <c r="K28" s="315">
        <v>319</v>
      </c>
      <c r="L28" s="315">
        <v>310</v>
      </c>
      <c r="M28" s="315" t="e">
        <v>#REF!</v>
      </c>
      <c r="N28" s="315" t="e">
        <v>#REF!</v>
      </c>
      <c r="O28" s="315" t="e">
        <v>#REF!</v>
      </c>
      <c r="P28" s="315" t="e">
        <v>#REF!</v>
      </c>
      <c r="Q28" s="316" t="e">
        <v>#REF!</v>
      </c>
      <c r="R28" s="551">
        <f t="shared" si="1"/>
        <v>388</v>
      </c>
      <c r="S28" s="317"/>
      <c r="T28" s="317"/>
      <c r="U28" s="317"/>
      <c r="V28" s="317"/>
      <c r="W28" s="318"/>
      <c r="X28" s="318"/>
      <c r="Y28" s="318"/>
      <c r="Z28" s="318"/>
      <c r="AA28" s="319"/>
      <c r="AB28" s="320">
        <f t="shared" si="5"/>
        <v>394</v>
      </c>
      <c r="AC28" s="301">
        <f t="shared" si="6"/>
        <v>388</v>
      </c>
      <c r="AD28" s="321">
        <f t="shared" si="7"/>
        <v>369</v>
      </c>
      <c r="AE28" s="321">
        <f t="shared" si="8"/>
        <v>354</v>
      </c>
      <c r="AF28" s="321">
        <f t="shared" si="9"/>
        <v>340</v>
      </c>
      <c r="AG28" s="321">
        <f t="shared" si="10"/>
        <v>331</v>
      </c>
      <c r="AH28" s="321" t="e">
        <f t="shared" si="16"/>
        <v>#REF!</v>
      </c>
      <c r="AI28" s="321" t="e">
        <f t="shared" si="16"/>
        <v>#REF!</v>
      </c>
      <c r="AJ28" s="321" t="e">
        <f t="shared" si="16"/>
        <v>#REF!</v>
      </c>
      <c r="AK28" s="322" t="e">
        <f t="shared" si="16"/>
        <v>#REF!</v>
      </c>
      <c r="AL28" s="323" t="e">
        <f t="shared" si="16"/>
        <v>#REF!</v>
      </c>
      <c r="AM28" s="324" t="s">
        <v>425</v>
      </c>
      <c r="AO28" s="306">
        <f t="shared" si="11"/>
        <v>-21</v>
      </c>
      <c r="AP28" s="306">
        <f t="shared" si="12"/>
        <v>-27</v>
      </c>
      <c r="AQ28" s="306">
        <f t="shared" si="13"/>
        <v>-6</v>
      </c>
      <c r="AR28" s="306">
        <f t="shared" si="14"/>
        <v>-17</v>
      </c>
      <c r="AS28" s="289"/>
      <c r="AT28" s="325">
        <f t="shared" si="15"/>
        <v>-6</v>
      </c>
      <c r="AU28" s="263">
        <f t="shared" si="15"/>
        <v>-19</v>
      </c>
      <c r="AV28" s="263">
        <f t="shared" si="15"/>
        <v>-15</v>
      </c>
      <c r="AW28" s="263">
        <f t="shared" si="15"/>
        <v>-14</v>
      </c>
      <c r="AX28" s="308">
        <f t="shared" si="15"/>
        <v>-9</v>
      </c>
    </row>
    <row r="29" spans="1:50" ht="15.5" x14ac:dyDescent="0.35">
      <c r="A29" s="262"/>
      <c r="B29" s="326">
        <v>1071</v>
      </c>
      <c r="C29" s="327">
        <v>20</v>
      </c>
      <c r="D29" s="328" t="s">
        <v>404</v>
      </c>
      <c r="E29" s="329">
        <v>1</v>
      </c>
      <c r="F29" s="313" t="s">
        <v>426</v>
      </c>
      <c r="G29" s="314">
        <v>462</v>
      </c>
      <c r="H29" s="301">
        <v>442</v>
      </c>
      <c r="I29" s="318">
        <v>443</v>
      </c>
      <c r="J29" s="318">
        <v>433</v>
      </c>
      <c r="K29" s="318">
        <v>444</v>
      </c>
      <c r="L29" s="318">
        <v>436</v>
      </c>
      <c r="M29" s="315" t="e">
        <v>#REF!</v>
      </c>
      <c r="N29" s="315" t="e">
        <v>#REF!</v>
      </c>
      <c r="O29" s="315" t="e">
        <v>#REF!</v>
      </c>
      <c r="P29" s="315" t="e">
        <v>#REF!</v>
      </c>
      <c r="Q29" s="316" t="e">
        <v>#REF!</v>
      </c>
      <c r="R29" s="551">
        <f t="shared" si="1"/>
        <v>448</v>
      </c>
      <c r="S29" s="317"/>
      <c r="T29" s="317"/>
      <c r="U29" s="317"/>
      <c r="V29" s="317"/>
      <c r="W29" s="318"/>
      <c r="X29" s="318"/>
      <c r="Y29" s="318"/>
      <c r="Z29" s="318"/>
      <c r="AA29" s="319"/>
      <c r="AB29" s="320">
        <f t="shared" si="5"/>
        <v>462</v>
      </c>
      <c r="AC29" s="301">
        <f t="shared" si="6"/>
        <v>448</v>
      </c>
      <c r="AD29" s="321">
        <f t="shared" si="7"/>
        <v>449</v>
      </c>
      <c r="AE29" s="321">
        <f t="shared" si="8"/>
        <v>439</v>
      </c>
      <c r="AF29" s="321">
        <f t="shared" si="9"/>
        <v>450</v>
      </c>
      <c r="AG29" s="321">
        <f t="shared" si="10"/>
        <v>442</v>
      </c>
      <c r="AH29" s="321" t="e">
        <f t="shared" si="16"/>
        <v>#REF!</v>
      </c>
      <c r="AI29" s="321" t="e">
        <f t="shared" si="16"/>
        <v>#REF!</v>
      </c>
      <c r="AJ29" s="321" t="e">
        <f t="shared" si="16"/>
        <v>#REF!</v>
      </c>
      <c r="AK29" s="322" t="e">
        <f t="shared" si="16"/>
        <v>#REF!</v>
      </c>
      <c r="AL29" s="323" t="e">
        <f t="shared" si="16"/>
        <v>#REF!</v>
      </c>
      <c r="AM29" s="324" t="s">
        <v>426</v>
      </c>
      <c r="AO29" s="306">
        <f t="shared" si="11"/>
        <v>-6</v>
      </c>
      <c r="AP29" s="306">
        <f t="shared" si="12"/>
        <v>-20</v>
      </c>
      <c r="AQ29" s="306">
        <f t="shared" si="13"/>
        <v>-14</v>
      </c>
      <c r="AR29" s="306">
        <f t="shared" si="14"/>
        <v>-17</v>
      </c>
      <c r="AS29" s="289"/>
      <c r="AT29" s="325">
        <f t="shared" si="15"/>
        <v>-14</v>
      </c>
      <c r="AU29" s="263">
        <f t="shared" si="15"/>
        <v>1</v>
      </c>
      <c r="AV29" s="263">
        <f t="shared" si="15"/>
        <v>-10</v>
      </c>
      <c r="AW29" s="263">
        <f t="shared" si="15"/>
        <v>11</v>
      </c>
      <c r="AX29" s="308">
        <f t="shared" si="15"/>
        <v>-8</v>
      </c>
    </row>
    <row r="30" spans="1:50" ht="15.5" x14ac:dyDescent="0.35">
      <c r="A30" s="262"/>
      <c r="B30" s="290">
        <v>3061</v>
      </c>
      <c r="C30" s="291">
        <v>48</v>
      </c>
      <c r="D30" s="292" t="s">
        <v>406</v>
      </c>
      <c r="E30" s="262">
        <v>1</v>
      </c>
      <c r="F30" s="331" t="s">
        <v>427</v>
      </c>
      <c r="G30" s="332">
        <v>373</v>
      </c>
      <c r="H30" s="643">
        <v>391</v>
      </c>
      <c r="I30" s="315">
        <v>392</v>
      </c>
      <c r="J30" s="315">
        <v>399</v>
      </c>
      <c r="K30" s="315">
        <v>379</v>
      </c>
      <c r="L30" s="315">
        <v>379</v>
      </c>
      <c r="M30" s="315" t="e">
        <v>#REF!</v>
      </c>
      <c r="N30" s="315" t="e">
        <v>#REF!</v>
      </c>
      <c r="O30" s="315" t="e">
        <v>#REF!</v>
      </c>
      <c r="P30" s="315" t="e">
        <v>#REF!</v>
      </c>
      <c r="Q30" s="316" t="e">
        <v>#REF!</v>
      </c>
      <c r="R30" s="551">
        <f t="shared" si="1"/>
        <v>356</v>
      </c>
      <c r="S30" s="317"/>
      <c r="T30" s="317"/>
      <c r="U30" s="317"/>
      <c r="V30" s="317"/>
      <c r="W30" s="318"/>
      <c r="X30" s="318"/>
      <c r="Y30" s="318"/>
      <c r="Z30" s="318"/>
      <c r="AA30" s="319"/>
      <c r="AB30" s="320">
        <f t="shared" si="5"/>
        <v>373</v>
      </c>
      <c r="AC30" s="301">
        <f t="shared" si="6"/>
        <v>356</v>
      </c>
      <c r="AD30" s="321">
        <f t="shared" si="7"/>
        <v>357</v>
      </c>
      <c r="AE30" s="321">
        <f t="shared" si="8"/>
        <v>364</v>
      </c>
      <c r="AF30" s="321">
        <f t="shared" si="9"/>
        <v>344</v>
      </c>
      <c r="AG30" s="321">
        <f t="shared" si="10"/>
        <v>344</v>
      </c>
      <c r="AH30" s="321" t="e">
        <f t="shared" si="16"/>
        <v>#REF!</v>
      </c>
      <c r="AI30" s="321" t="e">
        <f t="shared" si="16"/>
        <v>#REF!</v>
      </c>
      <c r="AJ30" s="321" t="e">
        <f t="shared" si="16"/>
        <v>#REF!</v>
      </c>
      <c r="AK30" s="322" t="e">
        <f t="shared" si="16"/>
        <v>#REF!</v>
      </c>
      <c r="AL30" s="323" t="e">
        <f t="shared" si="16"/>
        <v>#REF!</v>
      </c>
      <c r="AM30" s="333" t="s">
        <v>427</v>
      </c>
      <c r="AO30" s="306">
        <f t="shared" si="11"/>
        <v>35</v>
      </c>
      <c r="AP30" s="306">
        <f t="shared" si="12"/>
        <v>18</v>
      </c>
      <c r="AQ30" s="306">
        <f t="shared" si="13"/>
        <v>-17</v>
      </c>
      <c r="AR30" s="306">
        <f t="shared" si="14"/>
        <v>1</v>
      </c>
      <c r="AS30" s="289"/>
      <c r="AT30" s="325">
        <f t="shared" si="15"/>
        <v>-17</v>
      </c>
      <c r="AU30" s="263">
        <f t="shared" si="15"/>
        <v>1</v>
      </c>
      <c r="AV30" s="263">
        <f t="shared" si="15"/>
        <v>7</v>
      </c>
      <c r="AW30" s="263">
        <f t="shared" si="15"/>
        <v>-20</v>
      </c>
      <c r="AX30" s="308">
        <f t="shared" si="15"/>
        <v>0</v>
      </c>
    </row>
    <row r="31" spans="1:50" ht="15.5" x14ac:dyDescent="0.35">
      <c r="A31" s="262"/>
      <c r="B31" s="309">
        <v>6013</v>
      </c>
      <c r="C31" s="310">
        <v>68</v>
      </c>
      <c r="D31" s="311" t="s">
        <v>404</v>
      </c>
      <c r="E31" s="312">
        <v>1</v>
      </c>
      <c r="F31" s="313" t="s">
        <v>428</v>
      </c>
      <c r="G31" s="314">
        <v>425</v>
      </c>
      <c r="H31" s="643">
        <v>410</v>
      </c>
      <c r="I31" s="315">
        <v>391</v>
      </c>
      <c r="J31" s="315">
        <v>368</v>
      </c>
      <c r="K31" s="315">
        <v>360</v>
      </c>
      <c r="L31" s="315">
        <v>343</v>
      </c>
      <c r="M31" s="315" t="e">
        <v>#REF!</v>
      </c>
      <c r="N31" s="315" t="e">
        <v>#REF!</v>
      </c>
      <c r="O31" s="315" t="e">
        <v>#REF!</v>
      </c>
      <c r="P31" s="315" t="e">
        <v>#REF!</v>
      </c>
      <c r="Q31" s="316" t="e">
        <v>#REF!</v>
      </c>
      <c r="R31" s="551">
        <f t="shared" si="1"/>
        <v>430</v>
      </c>
      <c r="S31" s="317"/>
      <c r="T31" s="317"/>
      <c r="U31" s="317"/>
      <c r="V31" s="317"/>
      <c r="W31" s="318"/>
      <c r="X31" s="318"/>
      <c r="Y31" s="318"/>
      <c r="Z31" s="318"/>
      <c r="AA31" s="319"/>
      <c r="AB31" s="320">
        <f t="shared" si="5"/>
        <v>425</v>
      </c>
      <c r="AC31" s="301">
        <f t="shared" si="6"/>
        <v>430</v>
      </c>
      <c r="AD31" s="321">
        <f t="shared" si="7"/>
        <v>411</v>
      </c>
      <c r="AE31" s="321">
        <f t="shared" si="8"/>
        <v>388</v>
      </c>
      <c r="AF31" s="321">
        <f t="shared" si="9"/>
        <v>380</v>
      </c>
      <c r="AG31" s="321">
        <f t="shared" si="10"/>
        <v>363</v>
      </c>
      <c r="AH31" s="321" t="e">
        <f t="shared" si="16"/>
        <v>#REF!</v>
      </c>
      <c r="AI31" s="321" t="e">
        <f t="shared" si="16"/>
        <v>#REF!</v>
      </c>
      <c r="AJ31" s="321" t="e">
        <f t="shared" si="16"/>
        <v>#REF!</v>
      </c>
      <c r="AK31" s="322" t="e">
        <f t="shared" si="16"/>
        <v>#REF!</v>
      </c>
      <c r="AL31" s="323" t="e">
        <f t="shared" si="16"/>
        <v>#REF!</v>
      </c>
      <c r="AM31" s="324" t="s">
        <v>428</v>
      </c>
      <c r="AO31" s="306">
        <f t="shared" si="11"/>
        <v>-20</v>
      </c>
      <c r="AP31" s="306">
        <f t="shared" si="12"/>
        <v>-15</v>
      </c>
      <c r="AQ31" s="306">
        <f t="shared" si="13"/>
        <v>5</v>
      </c>
      <c r="AR31" s="306">
        <f t="shared" si="14"/>
        <v>-5</v>
      </c>
      <c r="AS31" s="289"/>
      <c r="AT31" s="325">
        <f t="shared" si="15"/>
        <v>5</v>
      </c>
      <c r="AU31" s="263">
        <f t="shared" si="15"/>
        <v>-19</v>
      </c>
      <c r="AV31" s="263">
        <f t="shared" si="15"/>
        <v>-23</v>
      </c>
      <c r="AW31" s="263">
        <f t="shared" si="15"/>
        <v>-8</v>
      </c>
      <c r="AX31" s="308">
        <f t="shared" si="15"/>
        <v>-17</v>
      </c>
    </row>
    <row r="32" spans="1:50" ht="15.5" x14ac:dyDescent="0.35">
      <c r="A32" s="262"/>
      <c r="B32" s="326">
        <v>151</v>
      </c>
      <c r="C32" s="327">
        <v>11</v>
      </c>
      <c r="D32" s="328" t="s">
        <v>408</v>
      </c>
      <c r="E32" s="329">
        <v>1</v>
      </c>
      <c r="F32" s="331" t="s">
        <v>429</v>
      </c>
      <c r="G32" s="332">
        <v>559</v>
      </c>
      <c r="H32" s="643">
        <v>526</v>
      </c>
      <c r="I32" s="315">
        <v>491</v>
      </c>
      <c r="J32" s="315">
        <v>461</v>
      </c>
      <c r="K32" s="315">
        <v>443</v>
      </c>
      <c r="L32" s="315">
        <v>430</v>
      </c>
      <c r="M32" s="315" t="e">
        <v>#REF!</v>
      </c>
      <c r="N32" s="315" t="e">
        <v>#REF!</v>
      </c>
      <c r="O32" s="315" t="e">
        <v>#REF!</v>
      </c>
      <c r="P32" s="315" t="e">
        <v>#REF!</v>
      </c>
      <c r="Q32" s="316" t="e">
        <v>#REF!</v>
      </c>
      <c r="R32" s="551">
        <f t="shared" si="1"/>
        <v>554</v>
      </c>
      <c r="S32" s="317"/>
      <c r="T32" s="317"/>
      <c r="U32" s="317"/>
      <c r="V32" s="317"/>
      <c r="W32" s="318"/>
      <c r="X32" s="318"/>
      <c r="Y32" s="318"/>
      <c r="Z32" s="318"/>
      <c r="AA32" s="319"/>
      <c r="AB32" s="320">
        <f t="shared" si="5"/>
        <v>559</v>
      </c>
      <c r="AC32" s="301">
        <f t="shared" si="6"/>
        <v>554</v>
      </c>
      <c r="AD32" s="321">
        <f t="shared" si="7"/>
        <v>519</v>
      </c>
      <c r="AE32" s="321">
        <f t="shared" si="8"/>
        <v>489</v>
      </c>
      <c r="AF32" s="321">
        <f t="shared" si="9"/>
        <v>471</v>
      </c>
      <c r="AG32" s="321">
        <f t="shared" si="10"/>
        <v>458</v>
      </c>
      <c r="AH32" s="321" t="e">
        <f t="shared" si="16"/>
        <v>#REF!</v>
      </c>
      <c r="AI32" s="321" t="e">
        <f t="shared" si="16"/>
        <v>#REF!</v>
      </c>
      <c r="AJ32" s="321" t="e">
        <f t="shared" si="16"/>
        <v>#REF!</v>
      </c>
      <c r="AK32" s="322" t="e">
        <f t="shared" si="16"/>
        <v>#REF!</v>
      </c>
      <c r="AL32" s="323" t="e">
        <f t="shared" si="16"/>
        <v>#REF!</v>
      </c>
      <c r="AM32" s="333" t="s">
        <v>429</v>
      </c>
      <c r="AO32" s="306">
        <f t="shared" si="11"/>
        <v>-28</v>
      </c>
      <c r="AP32" s="306">
        <f t="shared" si="12"/>
        <v>-33</v>
      </c>
      <c r="AQ32" s="306">
        <f t="shared" si="13"/>
        <v>-5</v>
      </c>
      <c r="AR32" s="306">
        <f t="shared" si="14"/>
        <v>-19</v>
      </c>
      <c r="AS32" s="289"/>
      <c r="AT32" s="325">
        <f t="shared" si="15"/>
        <v>-5</v>
      </c>
      <c r="AU32" s="263">
        <f t="shared" si="15"/>
        <v>-35</v>
      </c>
      <c r="AV32" s="263">
        <f t="shared" si="15"/>
        <v>-30</v>
      </c>
      <c r="AW32" s="263">
        <f t="shared" si="15"/>
        <v>-18</v>
      </c>
      <c r="AX32" s="308">
        <f t="shared" si="15"/>
        <v>-13</v>
      </c>
    </row>
    <row r="33" spans="1:50" ht="15.5" x14ac:dyDescent="0.35">
      <c r="A33" s="262"/>
      <c r="B33" s="290">
        <v>6081</v>
      </c>
      <c r="C33" s="291">
        <v>72</v>
      </c>
      <c r="D33" s="292" t="s">
        <v>406</v>
      </c>
      <c r="E33" s="262">
        <v>1</v>
      </c>
      <c r="F33" s="331" t="s">
        <v>430</v>
      </c>
      <c r="G33" s="332">
        <v>634</v>
      </c>
      <c r="H33" s="643">
        <v>609</v>
      </c>
      <c r="I33" s="315">
        <v>557</v>
      </c>
      <c r="J33" s="315">
        <v>549</v>
      </c>
      <c r="K33" s="315">
        <v>522</v>
      </c>
      <c r="L33" s="315">
        <v>506</v>
      </c>
      <c r="M33" s="315" t="e">
        <v>#REF!</v>
      </c>
      <c r="N33" s="315" t="e">
        <v>#REF!</v>
      </c>
      <c r="O33" s="315" t="e">
        <v>#REF!</v>
      </c>
      <c r="P33" s="315" t="e">
        <v>#REF!</v>
      </c>
      <c r="Q33" s="316" t="e">
        <v>#REF!</v>
      </c>
      <c r="R33" s="551">
        <f t="shared" si="1"/>
        <v>609</v>
      </c>
      <c r="S33" s="317"/>
      <c r="T33" s="317"/>
      <c r="U33" s="317"/>
      <c r="V33" s="317"/>
      <c r="W33" s="318"/>
      <c r="X33" s="318"/>
      <c r="Y33" s="318"/>
      <c r="Z33" s="318"/>
      <c r="AA33" s="319"/>
      <c r="AB33" s="320">
        <f t="shared" si="5"/>
        <v>634</v>
      </c>
      <c r="AC33" s="301">
        <f t="shared" si="6"/>
        <v>609</v>
      </c>
      <c r="AD33" s="321">
        <f t="shared" si="7"/>
        <v>557</v>
      </c>
      <c r="AE33" s="321">
        <f t="shared" si="8"/>
        <v>549</v>
      </c>
      <c r="AF33" s="321">
        <f t="shared" si="9"/>
        <v>522</v>
      </c>
      <c r="AG33" s="321">
        <f t="shared" si="10"/>
        <v>506</v>
      </c>
      <c r="AH33" s="321" t="e">
        <f t="shared" si="16"/>
        <v>#REF!</v>
      </c>
      <c r="AI33" s="321" t="e">
        <f t="shared" si="16"/>
        <v>#REF!</v>
      </c>
      <c r="AJ33" s="321" t="e">
        <f t="shared" si="16"/>
        <v>#REF!</v>
      </c>
      <c r="AK33" s="322" t="e">
        <f t="shared" si="16"/>
        <v>#REF!</v>
      </c>
      <c r="AL33" s="323" t="e">
        <f t="shared" si="16"/>
        <v>#REF!</v>
      </c>
      <c r="AM33" s="333" t="s">
        <v>430</v>
      </c>
      <c r="AO33" s="306">
        <f t="shared" si="11"/>
        <v>0</v>
      </c>
      <c r="AP33" s="306">
        <f t="shared" si="12"/>
        <v>-25</v>
      </c>
      <c r="AQ33" s="306">
        <f t="shared" si="13"/>
        <v>-25</v>
      </c>
      <c r="AR33" s="306">
        <f t="shared" si="14"/>
        <v>-25</v>
      </c>
      <c r="AS33" s="289"/>
      <c r="AT33" s="325">
        <f t="shared" si="15"/>
        <v>-25</v>
      </c>
      <c r="AU33" s="263">
        <f t="shared" si="15"/>
        <v>-52</v>
      </c>
      <c r="AV33" s="263">
        <f t="shared" si="15"/>
        <v>-8</v>
      </c>
      <c r="AW33" s="263">
        <f t="shared" si="15"/>
        <v>-27</v>
      </c>
      <c r="AX33" s="308">
        <f t="shared" si="15"/>
        <v>-16</v>
      </c>
    </row>
    <row r="34" spans="1:50" ht="15.5" x14ac:dyDescent="0.35">
      <c r="A34" s="262"/>
      <c r="B34" s="309">
        <v>2191</v>
      </c>
      <c r="C34" s="310">
        <v>42</v>
      </c>
      <c r="D34" s="311" t="s">
        <v>406</v>
      </c>
      <c r="E34" s="312">
        <v>1</v>
      </c>
      <c r="F34" s="313" t="s">
        <v>431</v>
      </c>
      <c r="G34" s="314">
        <v>834</v>
      </c>
      <c r="H34" s="643">
        <v>902</v>
      </c>
      <c r="I34" s="315">
        <v>985</v>
      </c>
      <c r="J34" s="315">
        <v>1022</v>
      </c>
      <c r="K34" s="315">
        <v>1098</v>
      </c>
      <c r="L34" s="315">
        <v>1178</v>
      </c>
      <c r="M34" s="315" t="e">
        <v>#REF!</v>
      </c>
      <c r="N34" s="315" t="e">
        <v>#REF!</v>
      </c>
      <c r="O34" s="315" t="e">
        <v>#REF!</v>
      </c>
      <c r="P34" s="315" t="e">
        <v>#REF!</v>
      </c>
      <c r="Q34" s="316" t="e">
        <v>#REF!</v>
      </c>
      <c r="R34" s="551">
        <f t="shared" si="1"/>
        <v>834</v>
      </c>
      <c r="S34" s="317"/>
      <c r="T34" s="317"/>
      <c r="U34" s="317"/>
      <c r="V34" s="317"/>
      <c r="W34" s="318"/>
      <c r="X34" s="318"/>
      <c r="Y34" s="318"/>
      <c r="Z34" s="318"/>
      <c r="AA34" s="319"/>
      <c r="AB34" s="320">
        <f t="shared" si="5"/>
        <v>834</v>
      </c>
      <c r="AC34" s="301">
        <f t="shared" si="6"/>
        <v>834</v>
      </c>
      <c r="AD34" s="321">
        <f t="shared" si="7"/>
        <v>917</v>
      </c>
      <c r="AE34" s="321">
        <f t="shared" si="8"/>
        <v>954</v>
      </c>
      <c r="AF34" s="321">
        <f t="shared" si="9"/>
        <v>1030</v>
      </c>
      <c r="AG34" s="321">
        <f t="shared" si="10"/>
        <v>1110</v>
      </c>
      <c r="AH34" s="321" t="e">
        <f t="shared" si="16"/>
        <v>#REF!</v>
      </c>
      <c r="AI34" s="321" t="e">
        <f t="shared" si="16"/>
        <v>#REF!</v>
      </c>
      <c r="AJ34" s="321" t="e">
        <f t="shared" si="16"/>
        <v>#REF!</v>
      </c>
      <c r="AK34" s="322" t="e">
        <f t="shared" si="16"/>
        <v>#REF!</v>
      </c>
      <c r="AL34" s="323" t="e">
        <f t="shared" si="16"/>
        <v>#REF!</v>
      </c>
      <c r="AM34" s="324" t="s">
        <v>431</v>
      </c>
      <c r="AO34" s="306">
        <f t="shared" si="11"/>
        <v>68</v>
      </c>
      <c r="AP34" s="306">
        <f t="shared" si="12"/>
        <v>68</v>
      </c>
      <c r="AQ34" s="306">
        <f t="shared" si="13"/>
        <v>0</v>
      </c>
      <c r="AR34" s="306">
        <f t="shared" si="14"/>
        <v>34</v>
      </c>
      <c r="AS34" s="289"/>
      <c r="AT34" s="325">
        <f t="shared" si="15"/>
        <v>0</v>
      </c>
      <c r="AU34" s="571">
        <f t="shared" si="15"/>
        <v>83</v>
      </c>
      <c r="AV34" s="571">
        <f t="shared" si="15"/>
        <v>37</v>
      </c>
      <c r="AW34" s="571">
        <f t="shared" si="15"/>
        <v>76</v>
      </c>
      <c r="AX34" s="572">
        <f t="shared" si="15"/>
        <v>80</v>
      </c>
    </row>
    <row r="35" spans="1:50" ht="15.5" x14ac:dyDescent="0.35">
      <c r="A35" s="262"/>
      <c r="B35" s="326">
        <v>2111</v>
      </c>
      <c r="C35" s="327">
        <v>35</v>
      </c>
      <c r="D35" s="328" t="s">
        <v>406</v>
      </c>
      <c r="E35" s="329">
        <v>1</v>
      </c>
      <c r="F35" s="313" t="s">
        <v>432</v>
      </c>
      <c r="G35" s="314">
        <v>525</v>
      </c>
      <c r="H35" s="643">
        <v>513</v>
      </c>
      <c r="I35" s="315">
        <v>470</v>
      </c>
      <c r="J35" s="315">
        <v>445</v>
      </c>
      <c r="K35" s="315">
        <v>419</v>
      </c>
      <c r="L35" s="315">
        <v>396</v>
      </c>
      <c r="M35" s="315" t="e">
        <v>#REF!</v>
      </c>
      <c r="N35" s="315" t="e">
        <v>#REF!</v>
      </c>
      <c r="O35" s="315" t="e">
        <v>#REF!</v>
      </c>
      <c r="P35" s="315" t="e">
        <v>#REF!</v>
      </c>
      <c r="Q35" s="316" t="e">
        <v>#REF!</v>
      </c>
      <c r="R35" s="551">
        <f t="shared" si="1"/>
        <v>518</v>
      </c>
      <c r="S35" s="317"/>
      <c r="T35" s="317"/>
      <c r="U35" s="317"/>
      <c r="V35" s="317"/>
      <c r="W35" s="318"/>
      <c r="X35" s="318"/>
      <c r="Y35" s="318"/>
      <c r="Z35" s="318"/>
      <c r="AA35" s="319"/>
      <c r="AB35" s="320">
        <f t="shared" si="5"/>
        <v>525</v>
      </c>
      <c r="AC35" s="301">
        <f t="shared" si="6"/>
        <v>518</v>
      </c>
      <c r="AD35" s="321">
        <f t="shared" si="7"/>
        <v>475</v>
      </c>
      <c r="AE35" s="321">
        <f t="shared" si="8"/>
        <v>450</v>
      </c>
      <c r="AF35" s="321">
        <f t="shared" si="9"/>
        <v>424</v>
      </c>
      <c r="AG35" s="321">
        <f t="shared" si="10"/>
        <v>401</v>
      </c>
      <c r="AH35" s="321" t="e">
        <f t="shared" si="16"/>
        <v>#REF!</v>
      </c>
      <c r="AI35" s="321" t="e">
        <f t="shared" si="16"/>
        <v>#REF!</v>
      </c>
      <c r="AJ35" s="321" t="e">
        <f t="shared" si="16"/>
        <v>#REF!</v>
      </c>
      <c r="AK35" s="322" t="e">
        <f t="shared" si="16"/>
        <v>#REF!</v>
      </c>
      <c r="AL35" s="323" t="e">
        <f t="shared" si="16"/>
        <v>#REF!</v>
      </c>
      <c r="AM35" s="324" t="s">
        <v>432</v>
      </c>
      <c r="AO35" s="306">
        <f t="shared" si="11"/>
        <v>-5</v>
      </c>
      <c r="AP35" s="306">
        <f t="shared" si="12"/>
        <v>-12</v>
      </c>
      <c r="AQ35" s="306">
        <f t="shared" si="13"/>
        <v>-7</v>
      </c>
      <c r="AR35" s="306">
        <f t="shared" si="14"/>
        <v>-10</v>
      </c>
      <c r="AS35" s="289"/>
      <c r="AT35" s="325">
        <f t="shared" si="15"/>
        <v>-7</v>
      </c>
      <c r="AU35" s="263">
        <f t="shared" si="15"/>
        <v>-43</v>
      </c>
      <c r="AV35" s="263">
        <f t="shared" si="15"/>
        <v>-25</v>
      </c>
      <c r="AW35" s="263">
        <f t="shared" si="15"/>
        <v>-26</v>
      </c>
      <c r="AX35" s="308">
        <f t="shared" si="15"/>
        <v>-23</v>
      </c>
    </row>
    <row r="36" spans="1:50" ht="15.5" x14ac:dyDescent="0.35">
      <c r="A36" s="262"/>
      <c r="B36" s="290">
        <v>3131</v>
      </c>
      <c r="C36" s="291">
        <v>107</v>
      </c>
      <c r="D36" s="292" t="s">
        <v>404</v>
      </c>
      <c r="E36" s="262">
        <v>1</v>
      </c>
      <c r="F36" s="313" t="s">
        <v>433</v>
      </c>
      <c r="G36" s="314">
        <v>533</v>
      </c>
      <c r="H36" s="643">
        <v>506</v>
      </c>
      <c r="I36" s="315">
        <v>463</v>
      </c>
      <c r="J36" s="315">
        <v>453</v>
      </c>
      <c r="K36" s="315">
        <v>433</v>
      </c>
      <c r="L36" s="315">
        <v>406</v>
      </c>
      <c r="M36" s="315" t="e">
        <v>#REF!</v>
      </c>
      <c r="N36" s="315" t="e">
        <v>#REF!</v>
      </c>
      <c r="O36" s="315" t="e">
        <v>#REF!</v>
      </c>
      <c r="P36" s="315" t="e">
        <v>#REF!</v>
      </c>
      <c r="Q36" s="316" t="e">
        <v>#REF!</v>
      </c>
      <c r="R36" s="551">
        <f t="shared" si="1"/>
        <v>503</v>
      </c>
      <c r="S36" s="317"/>
      <c r="T36" s="317"/>
      <c r="U36" s="317"/>
      <c r="V36" s="317"/>
      <c r="W36" s="318"/>
      <c r="X36" s="318"/>
      <c r="Y36" s="318"/>
      <c r="Z36" s="318"/>
      <c r="AA36" s="319"/>
      <c r="AB36" s="320">
        <f t="shared" si="5"/>
        <v>533</v>
      </c>
      <c r="AC36" s="301">
        <f t="shared" si="6"/>
        <v>503</v>
      </c>
      <c r="AD36" s="321">
        <f t="shared" si="7"/>
        <v>460</v>
      </c>
      <c r="AE36" s="321">
        <f t="shared" si="8"/>
        <v>450</v>
      </c>
      <c r="AF36" s="321">
        <f t="shared" si="9"/>
        <v>430</v>
      </c>
      <c r="AG36" s="321">
        <f t="shared" si="10"/>
        <v>403</v>
      </c>
      <c r="AH36" s="321" t="e">
        <f t="shared" si="16"/>
        <v>#REF!</v>
      </c>
      <c r="AI36" s="321" t="e">
        <f t="shared" si="16"/>
        <v>#REF!</v>
      </c>
      <c r="AJ36" s="321" t="e">
        <f t="shared" si="16"/>
        <v>#REF!</v>
      </c>
      <c r="AK36" s="322" t="e">
        <f t="shared" si="16"/>
        <v>#REF!</v>
      </c>
      <c r="AL36" s="323" t="e">
        <f t="shared" si="16"/>
        <v>#REF!</v>
      </c>
      <c r="AM36" s="324" t="s">
        <v>433</v>
      </c>
      <c r="AO36" s="306">
        <f t="shared" si="11"/>
        <v>3</v>
      </c>
      <c r="AP36" s="306">
        <f t="shared" si="12"/>
        <v>-27</v>
      </c>
      <c r="AQ36" s="306">
        <f t="shared" si="13"/>
        <v>-30</v>
      </c>
      <c r="AR36" s="306">
        <f t="shared" si="14"/>
        <v>-29</v>
      </c>
      <c r="AS36" s="289"/>
      <c r="AT36" s="325">
        <f t="shared" si="15"/>
        <v>-30</v>
      </c>
      <c r="AU36" s="263">
        <f t="shared" si="15"/>
        <v>-43</v>
      </c>
      <c r="AV36" s="263">
        <f t="shared" si="15"/>
        <v>-10</v>
      </c>
      <c r="AW36" s="263">
        <f t="shared" si="15"/>
        <v>-20</v>
      </c>
      <c r="AX36" s="308">
        <f t="shared" si="15"/>
        <v>-27</v>
      </c>
    </row>
    <row r="37" spans="1:50" ht="15.5" x14ac:dyDescent="0.35">
      <c r="A37" s="262"/>
      <c r="B37" s="309">
        <v>1161</v>
      </c>
      <c r="C37" s="310">
        <v>112</v>
      </c>
      <c r="D37" s="311" t="s">
        <v>404</v>
      </c>
      <c r="E37" s="312">
        <v>1</v>
      </c>
      <c r="F37" s="313" t="s">
        <v>434</v>
      </c>
      <c r="G37" s="314">
        <v>943</v>
      </c>
      <c r="H37" s="651">
        <v>956</v>
      </c>
      <c r="I37" s="650">
        <v>971</v>
      </c>
      <c r="J37" s="650">
        <v>955</v>
      </c>
      <c r="K37" s="650">
        <v>914</v>
      </c>
      <c r="L37" s="650">
        <v>890</v>
      </c>
      <c r="M37" s="315" t="e">
        <v>#REF!</v>
      </c>
      <c r="N37" s="315" t="e">
        <v>#REF!</v>
      </c>
      <c r="O37" s="315" t="e">
        <v>#REF!</v>
      </c>
      <c r="P37" s="315" t="e">
        <v>#REF!</v>
      </c>
      <c r="Q37" s="316" t="e">
        <v>#REF!</v>
      </c>
      <c r="R37" s="551">
        <f t="shared" si="1"/>
        <v>956</v>
      </c>
      <c r="S37" s="317"/>
      <c r="T37" s="317"/>
      <c r="U37" s="317"/>
      <c r="V37" s="317"/>
      <c r="W37" s="318"/>
      <c r="X37" s="318"/>
      <c r="Y37" s="318"/>
      <c r="Z37" s="318"/>
      <c r="AA37" s="319"/>
      <c r="AB37" s="320">
        <f t="shared" si="5"/>
        <v>943</v>
      </c>
      <c r="AC37" s="301">
        <f t="shared" si="6"/>
        <v>956</v>
      </c>
      <c r="AD37" s="321">
        <f t="shared" si="7"/>
        <v>971</v>
      </c>
      <c r="AE37" s="321">
        <f t="shared" si="8"/>
        <v>955</v>
      </c>
      <c r="AF37" s="321">
        <f t="shared" si="9"/>
        <v>914</v>
      </c>
      <c r="AG37" s="321">
        <f t="shared" si="10"/>
        <v>890</v>
      </c>
      <c r="AH37" s="321" t="e">
        <f t="shared" si="16"/>
        <v>#REF!</v>
      </c>
      <c r="AI37" s="321" t="e">
        <f t="shared" si="16"/>
        <v>#REF!</v>
      </c>
      <c r="AJ37" s="321" t="e">
        <f t="shared" si="16"/>
        <v>#REF!</v>
      </c>
      <c r="AK37" s="322" t="e">
        <f t="shared" si="16"/>
        <v>#REF!</v>
      </c>
      <c r="AL37" s="323" t="e">
        <f t="shared" si="16"/>
        <v>#REF!</v>
      </c>
      <c r="AM37" s="324" t="s">
        <v>434</v>
      </c>
      <c r="AO37" s="306">
        <f t="shared" si="11"/>
        <v>0</v>
      </c>
      <c r="AP37" s="306">
        <f t="shared" si="12"/>
        <v>13</v>
      </c>
      <c r="AQ37" s="306">
        <f t="shared" si="13"/>
        <v>13</v>
      </c>
      <c r="AR37" s="306">
        <f t="shared" si="14"/>
        <v>13</v>
      </c>
      <c r="AS37" s="289"/>
      <c r="AT37" s="325">
        <f t="shared" si="15"/>
        <v>13</v>
      </c>
      <c r="AU37" s="263">
        <f t="shared" si="15"/>
        <v>15</v>
      </c>
      <c r="AV37" s="263">
        <f t="shared" si="15"/>
        <v>-16</v>
      </c>
      <c r="AW37" s="263">
        <f t="shared" si="15"/>
        <v>-41</v>
      </c>
      <c r="AX37" s="308">
        <f t="shared" si="15"/>
        <v>-24</v>
      </c>
    </row>
    <row r="38" spans="1:50" ht="15.5" x14ac:dyDescent="0.35">
      <c r="A38" s="262"/>
      <c r="B38" s="326">
        <v>2161</v>
      </c>
      <c r="C38" s="327">
        <v>40</v>
      </c>
      <c r="D38" s="328" t="s">
        <v>406</v>
      </c>
      <c r="E38" s="329">
        <v>1</v>
      </c>
      <c r="F38" s="331" t="s">
        <v>435</v>
      </c>
      <c r="G38" s="332">
        <v>676</v>
      </c>
      <c r="H38" s="643">
        <v>644</v>
      </c>
      <c r="I38" s="315">
        <v>627</v>
      </c>
      <c r="J38" s="315">
        <v>629</v>
      </c>
      <c r="K38" s="315">
        <v>619</v>
      </c>
      <c r="L38" s="315">
        <v>615</v>
      </c>
      <c r="M38" s="315" t="e">
        <v>#REF!</v>
      </c>
      <c r="N38" s="315" t="e">
        <v>#REF!</v>
      </c>
      <c r="O38" s="315" t="e">
        <v>#REF!</v>
      </c>
      <c r="P38" s="315" t="e">
        <v>#REF!</v>
      </c>
      <c r="Q38" s="316" t="e">
        <v>#REF!</v>
      </c>
      <c r="R38" s="551">
        <f t="shared" si="1"/>
        <v>652</v>
      </c>
      <c r="S38" s="317"/>
      <c r="T38" s="317"/>
      <c r="U38" s="317"/>
      <c r="V38" s="317"/>
      <c r="W38" s="318"/>
      <c r="X38" s="318"/>
      <c r="Y38" s="318"/>
      <c r="Z38" s="318"/>
      <c r="AA38" s="319"/>
      <c r="AB38" s="320">
        <f t="shared" si="5"/>
        <v>676</v>
      </c>
      <c r="AC38" s="301">
        <f t="shared" si="6"/>
        <v>652</v>
      </c>
      <c r="AD38" s="321">
        <f t="shared" si="7"/>
        <v>635</v>
      </c>
      <c r="AE38" s="321">
        <f t="shared" si="8"/>
        <v>637</v>
      </c>
      <c r="AF38" s="321">
        <f t="shared" si="9"/>
        <v>627</v>
      </c>
      <c r="AG38" s="321">
        <f t="shared" si="10"/>
        <v>623</v>
      </c>
      <c r="AH38" s="321" t="e">
        <f t="shared" si="16"/>
        <v>#REF!</v>
      </c>
      <c r="AI38" s="321" t="e">
        <f t="shared" si="16"/>
        <v>#REF!</v>
      </c>
      <c r="AJ38" s="321" t="e">
        <f t="shared" si="16"/>
        <v>#REF!</v>
      </c>
      <c r="AK38" s="322" t="e">
        <f t="shared" si="16"/>
        <v>#REF!</v>
      </c>
      <c r="AL38" s="323" t="e">
        <f t="shared" si="16"/>
        <v>#REF!</v>
      </c>
      <c r="AM38" s="333" t="s">
        <v>435</v>
      </c>
      <c r="AO38" s="306">
        <f t="shared" si="11"/>
        <v>-8</v>
      </c>
      <c r="AP38" s="306">
        <f t="shared" si="12"/>
        <v>-32</v>
      </c>
      <c r="AQ38" s="306">
        <f t="shared" si="13"/>
        <v>-24</v>
      </c>
      <c r="AR38" s="306">
        <f t="shared" si="14"/>
        <v>-28</v>
      </c>
      <c r="AS38" s="289"/>
      <c r="AT38" s="325">
        <f t="shared" si="15"/>
        <v>-24</v>
      </c>
      <c r="AU38" s="263">
        <f t="shared" si="15"/>
        <v>-17</v>
      </c>
      <c r="AV38" s="263">
        <f t="shared" si="15"/>
        <v>2</v>
      </c>
      <c r="AW38" s="263">
        <f t="shared" si="15"/>
        <v>-10</v>
      </c>
      <c r="AX38" s="308">
        <f t="shared" si="15"/>
        <v>-4</v>
      </c>
    </row>
    <row r="39" spans="1:50" ht="15.5" x14ac:dyDescent="0.35">
      <c r="A39" s="262"/>
      <c r="B39" s="290">
        <v>2031</v>
      </c>
      <c r="C39" s="291">
        <v>120</v>
      </c>
      <c r="D39" s="292" t="s">
        <v>406</v>
      </c>
      <c r="E39" s="262">
        <v>1</v>
      </c>
      <c r="F39" s="336" t="s">
        <v>50</v>
      </c>
      <c r="G39" s="337">
        <v>757</v>
      </c>
      <c r="H39" s="643">
        <v>716</v>
      </c>
      <c r="I39" s="315">
        <v>673</v>
      </c>
      <c r="J39" s="315">
        <v>602</v>
      </c>
      <c r="K39" s="650">
        <v>555</v>
      </c>
      <c r="L39" s="650">
        <v>511</v>
      </c>
      <c r="M39" s="315" t="e">
        <v>#REF!</v>
      </c>
      <c r="N39" s="315" t="e">
        <v>#REF!</v>
      </c>
      <c r="O39" s="315" t="e">
        <v>#REF!</v>
      </c>
      <c r="P39" s="315" t="e">
        <v>#REF!</v>
      </c>
      <c r="Q39" s="316" t="e">
        <v>#REF!</v>
      </c>
      <c r="R39" s="551">
        <f t="shared" si="1"/>
        <v>723</v>
      </c>
      <c r="S39" s="317"/>
      <c r="T39" s="317"/>
      <c r="U39" s="317"/>
      <c r="V39" s="317"/>
      <c r="W39" s="318"/>
      <c r="X39" s="318"/>
      <c r="Y39" s="318"/>
      <c r="Z39" s="318"/>
      <c r="AA39" s="319"/>
      <c r="AB39" s="320">
        <f t="shared" si="5"/>
        <v>757</v>
      </c>
      <c r="AC39" s="301">
        <f t="shared" si="6"/>
        <v>723</v>
      </c>
      <c r="AD39" s="321">
        <f t="shared" ref="AD39:AD40" si="17">(I39-H39)+AC39</f>
        <v>680</v>
      </c>
      <c r="AE39" s="321">
        <f t="shared" ref="AE39:AE40" si="18">(J39-I39)+AD39</f>
        <v>609</v>
      </c>
      <c r="AF39" s="321">
        <f t="shared" ref="AF39:AF40" si="19">(K39-J39)+AE39</f>
        <v>562</v>
      </c>
      <c r="AG39" s="321">
        <f t="shared" ref="AG39:AG40" si="20">(L39-K39)+AF39</f>
        <v>518</v>
      </c>
      <c r="AH39" s="338" t="e">
        <f t="shared" si="16"/>
        <v>#REF!</v>
      </c>
      <c r="AI39" s="338" t="e">
        <f t="shared" si="16"/>
        <v>#REF!</v>
      </c>
      <c r="AJ39" s="338" t="e">
        <f t="shared" si="16"/>
        <v>#REF!</v>
      </c>
      <c r="AK39" s="339" t="e">
        <f t="shared" si="16"/>
        <v>#REF!</v>
      </c>
      <c r="AL39" s="340" t="e">
        <f t="shared" si="16"/>
        <v>#REF!</v>
      </c>
      <c r="AM39" s="341" t="s">
        <v>50</v>
      </c>
      <c r="AO39" s="306">
        <f t="shared" si="11"/>
        <v>-7</v>
      </c>
      <c r="AP39" s="306">
        <f t="shared" si="12"/>
        <v>-41</v>
      </c>
      <c r="AQ39" s="306">
        <f t="shared" si="13"/>
        <v>-34</v>
      </c>
      <c r="AR39" s="306">
        <f t="shared" si="14"/>
        <v>-38</v>
      </c>
      <c r="AS39" s="289"/>
      <c r="AT39" s="325">
        <f t="shared" si="15"/>
        <v>-34</v>
      </c>
      <c r="AU39" s="263">
        <f t="shared" si="15"/>
        <v>-43</v>
      </c>
      <c r="AV39" s="263">
        <f t="shared" si="15"/>
        <v>-71</v>
      </c>
      <c r="AW39" s="263">
        <f t="shared" si="15"/>
        <v>-47</v>
      </c>
      <c r="AX39" s="308">
        <f t="shared" si="15"/>
        <v>-44</v>
      </c>
    </row>
    <row r="40" spans="1:50" ht="15.5" x14ac:dyDescent="0.35">
      <c r="A40" s="262"/>
      <c r="B40" s="290">
        <v>2041</v>
      </c>
      <c r="C40" s="291">
        <v>105</v>
      </c>
      <c r="D40" s="292" t="s">
        <v>406</v>
      </c>
      <c r="E40" s="262">
        <v>1</v>
      </c>
      <c r="F40" s="336" t="s">
        <v>52</v>
      </c>
      <c r="G40" s="342">
        <v>518</v>
      </c>
      <c r="H40" s="642">
        <v>463</v>
      </c>
      <c r="I40" s="295">
        <v>424</v>
      </c>
      <c r="J40" s="295">
        <v>424</v>
      </c>
      <c r="K40" s="295">
        <v>424</v>
      </c>
      <c r="L40" s="295">
        <v>424</v>
      </c>
      <c r="M40" s="295" t="e">
        <v>#REF!</v>
      </c>
      <c r="N40" s="295" t="e">
        <v>#REF!</v>
      </c>
      <c r="O40" s="295" t="e">
        <v>#REF!</v>
      </c>
      <c r="P40" s="295" t="e">
        <v>#REF!</v>
      </c>
      <c r="Q40" s="296" t="e">
        <v>#REF!</v>
      </c>
      <c r="R40" s="557">
        <f t="shared" si="1"/>
        <v>475</v>
      </c>
      <c r="S40" s="298"/>
      <c r="T40" s="298"/>
      <c r="U40" s="298"/>
      <c r="V40" s="298"/>
      <c r="W40" s="299"/>
      <c r="X40" s="299"/>
      <c r="Y40" s="299"/>
      <c r="Z40" s="299"/>
      <c r="AA40" s="300"/>
      <c r="AB40" s="343">
        <f t="shared" si="5"/>
        <v>518</v>
      </c>
      <c r="AC40" s="297">
        <f t="shared" si="6"/>
        <v>475</v>
      </c>
      <c r="AD40" s="302">
        <f t="shared" si="17"/>
        <v>436</v>
      </c>
      <c r="AE40" s="302">
        <f t="shared" si="18"/>
        <v>436</v>
      </c>
      <c r="AF40" s="302">
        <f t="shared" si="19"/>
        <v>436</v>
      </c>
      <c r="AG40" s="302">
        <f t="shared" si="20"/>
        <v>436</v>
      </c>
      <c r="AH40" s="302" t="e">
        <f t="shared" si="16"/>
        <v>#REF!</v>
      </c>
      <c r="AI40" s="302" t="e">
        <f t="shared" si="16"/>
        <v>#REF!</v>
      </c>
      <c r="AJ40" s="302" t="e">
        <f t="shared" si="16"/>
        <v>#REF!</v>
      </c>
      <c r="AK40" s="303" t="e">
        <f t="shared" si="16"/>
        <v>#REF!</v>
      </c>
      <c r="AL40" s="304" t="e">
        <f t="shared" si="16"/>
        <v>#REF!</v>
      </c>
      <c r="AM40" s="344" t="s">
        <v>52</v>
      </c>
      <c r="AO40" s="306">
        <f t="shared" si="11"/>
        <v>-12</v>
      </c>
      <c r="AP40" s="306">
        <f t="shared" si="12"/>
        <v>-55</v>
      </c>
      <c r="AQ40" s="306">
        <f t="shared" si="13"/>
        <v>-43</v>
      </c>
      <c r="AR40" s="306">
        <f t="shared" si="14"/>
        <v>-49</v>
      </c>
      <c r="AS40" s="289"/>
      <c r="AT40" s="325">
        <f t="shared" si="15"/>
        <v>-43</v>
      </c>
      <c r="AU40" s="263">
        <f t="shared" si="15"/>
        <v>-39</v>
      </c>
      <c r="AV40" s="263">
        <f t="shared" si="15"/>
        <v>0</v>
      </c>
      <c r="AW40" s="263">
        <f t="shared" si="15"/>
        <v>0</v>
      </c>
      <c r="AX40" s="308">
        <f t="shared" si="15"/>
        <v>0</v>
      </c>
    </row>
    <row r="41" spans="1:50" ht="15.5" x14ac:dyDescent="0.35">
      <c r="A41" s="262"/>
      <c r="B41" s="326">
        <v>4031</v>
      </c>
      <c r="C41" s="327">
        <v>56</v>
      </c>
      <c r="D41" s="328" t="s">
        <v>408</v>
      </c>
      <c r="E41" s="329">
        <v>1</v>
      </c>
      <c r="F41" s="331" t="s">
        <v>436</v>
      </c>
      <c r="G41" s="332">
        <v>364</v>
      </c>
      <c r="H41" s="551">
        <v>364</v>
      </c>
      <c r="I41" s="661">
        <v>369</v>
      </c>
      <c r="J41" s="661">
        <v>375</v>
      </c>
      <c r="K41" s="661">
        <v>380</v>
      </c>
      <c r="L41" s="661">
        <v>385</v>
      </c>
      <c r="M41" s="315" t="e">
        <v>#REF!</v>
      </c>
      <c r="N41" s="315" t="e">
        <v>#REF!</v>
      </c>
      <c r="O41" s="315" t="e">
        <v>#REF!</v>
      </c>
      <c r="P41" s="315" t="e">
        <v>#REF!</v>
      </c>
      <c r="Q41" s="316" t="e">
        <v>#REF!</v>
      </c>
      <c r="R41" s="551">
        <v>364</v>
      </c>
      <c r="S41" s="317"/>
      <c r="T41" s="317"/>
      <c r="U41" s="317"/>
      <c r="V41" s="317"/>
      <c r="W41" s="318"/>
      <c r="X41" s="318"/>
      <c r="Y41" s="318"/>
      <c r="Z41" s="318"/>
      <c r="AA41" s="319"/>
      <c r="AB41" s="320">
        <f t="shared" si="5"/>
        <v>364</v>
      </c>
      <c r="AC41" s="301">
        <f t="shared" si="6"/>
        <v>364</v>
      </c>
      <c r="AD41" s="321">
        <f t="shared" si="7"/>
        <v>369</v>
      </c>
      <c r="AE41" s="321">
        <f t="shared" si="8"/>
        <v>375</v>
      </c>
      <c r="AF41" s="321">
        <f t="shared" si="9"/>
        <v>380</v>
      </c>
      <c r="AG41" s="321">
        <f t="shared" si="10"/>
        <v>385</v>
      </c>
      <c r="AH41" s="321" t="e">
        <f t="shared" si="16"/>
        <v>#REF!</v>
      </c>
      <c r="AI41" s="321" t="e">
        <f t="shared" si="16"/>
        <v>#REF!</v>
      </c>
      <c r="AJ41" s="321" t="e">
        <f t="shared" si="16"/>
        <v>#REF!</v>
      </c>
      <c r="AK41" s="322" t="e">
        <f t="shared" si="16"/>
        <v>#REF!</v>
      </c>
      <c r="AL41" s="323" t="e">
        <f t="shared" si="16"/>
        <v>#REF!</v>
      </c>
      <c r="AM41" s="333" t="s">
        <v>436</v>
      </c>
      <c r="AO41" s="306">
        <f t="shared" si="11"/>
        <v>0</v>
      </c>
      <c r="AP41" s="306">
        <f t="shared" si="12"/>
        <v>0</v>
      </c>
      <c r="AQ41" s="306">
        <f t="shared" si="13"/>
        <v>0</v>
      </c>
      <c r="AR41" s="306">
        <f t="shared" si="14"/>
        <v>0</v>
      </c>
      <c r="AS41" s="289"/>
      <c r="AT41" s="325">
        <f t="shared" si="15"/>
        <v>0</v>
      </c>
      <c r="AU41" s="263">
        <f t="shared" si="15"/>
        <v>5</v>
      </c>
      <c r="AV41" s="263">
        <f t="shared" si="15"/>
        <v>6</v>
      </c>
      <c r="AW41" s="263">
        <f t="shared" si="15"/>
        <v>5</v>
      </c>
      <c r="AX41" s="308">
        <f t="shared" si="15"/>
        <v>5</v>
      </c>
    </row>
    <row r="42" spans="1:50" ht="15.5" x14ac:dyDescent="0.35">
      <c r="A42" s="262"/>
      <c r="B42" s="290">
        <v>101</v>
      </c>
      <c r="C42" s="291">
        <v>7</v>
      </c>
      <c r="D42" s="292" t="s">
        <v>408</v>
      </c>
      <c r="E42" s="262">
        <v>1</v>
      </c>
      <c r="F42" s="313" t="s">
        <v>437</v>
      </c>
      <c r="G42" s="314">
        <v>407</v>
      </c>
      <c r="H42" s="643">
        <v>389</v>
      </c>
      <c r="I42" s="315">
        <v>361</v>
      </c>
      <c r="J42" s="315">
        <v>343</v>
      </c>
      <c r="K42" s="315">
        <v>326</v>
      </c>
      <c r="L42" s="315">
        <v>325</v>
      </c>
      <c r="M42" s="315" t="e">
        <v>#REF!</v>
      </c>
      <c r="N42" s="315" t="e">
        <v>#REF!</v>
      </c>
      <c r="O42" s="315" t="e">
        <v>#REF!</v>
      </c>
      <c r="P42" s="315" t="e">
        <v>#REF!</v>
      </c>
      <c r="Q42" s="316" t="e">
        <v>#REF!</v>
      </c>
      <c r="R42" s="551">
        <f t="shared" ref="R42:R73" si="21">VLOOKUP(B42,budgeting2025, 11, FALSE)</f>
        <v>392</v>
      </c>
      <c r="S42" s="317"/>
      <c r="T42" s="317"/>
      <c r="U42" s="317"/>
      <c r="V42" s="317"/>
      <c r="W42" s="318"/>
      <c r="X42" s="318"/>
      <c r="Y42" s="318"/>
      <c r="Z42" s="318"/>
      <c r="AA42" s="319"/>
      <c r="AB42" s="320">
        <f t="shared" si="5"/>
        <v>407</v>
      </c>
      <c r="AC42" s="301">
        <f t="shared" si="6"/>
        <v>392</v>
      </c>
      <c r="AD42" s="321">
        <f t="shared" si="7"/>
        <v>364</v>
      </c>
      <c r="AE42" s="321">
        <f t="shared" si="8"/>
        <v>346</v>
      </c>
      <c r="AF42" s="321">
        <f t="shared" si="9"/>
        <v>329</v>
      </c>
      <c r="AG42" s="321">
        <f t="shared" si="10"/>
        <v>328</v>
      </c>
      <c r="AH42" s="321" t="e">
        <f t="shared" ref="AH42:AL57" si="22">(M42-L42)+AG42</f>
        <v>#REF!</v>
      </c>
      <c r="AI42" s="321" t="e">
        <f t="shared" si="22"/>
        <v>#REF!</v>
      </c>
      <c r="AJ42" s="321" t="e">
        <f t="shared" si="22"/>
        <v>#REF!</v>
      </c>
      <c r="AK42" s="322" t="e">
        <f t="shared" si="22"/>
        <v>#REF!</v>
      </c>
      <c r="AL42" s="323" t="e">
        <f t="shared" si="22"/>
        <v>#REF!</v>
      </c>
      <c r="AM42" s="324" t="s">
        <v>437</v>
      </c>
      <c r="AO42" s="306">
        <f t="shared" si="11"/>
        <v>-3</v>
      </c>
      <c r="AP42" s="306">
        <f t="shared" si="12"/>
        <v>-18</v>
      </c>
      <c r="AQ42" s="306">
        <f t="shared" si="13"/>
        <v>-15</v>
      </c>
      <c r="AR42" s="306">
        <f t="shared" si="14"/>
        <v>-17</v>
      </c>
      <c r="AS42" s="289"/>
      <c r="AT42" s="325">
        <f t="shared" si="15"/>
        <v>-15</v>
      </c>
      <c r="AU42" s="263">
        <f t="shared" si="15"/>
        <v>-28</v>
      </c>
      <c r="AV42" s="263">
        <f t="shared" si="15"/>
        <v>-18</v>
      </c>
      <c r="AW42" s="263">
        <f t="shared" si="15"/>
        <v>-17</v>
      </c>
      <c r="AX42" s="308">
        <f t="shared" si="15"/>
        <v>-1</v>
      </c>
    </row>
    <row r="43" spans="1:50" ht="15.5" x14ac:dyDescent="0.35">
      <c r="A43" s="262"/>
      <c r="B43" s="309">
        <v>51</v>
      </c>
      <c r="C43" s="310">
        <v>2</v>
      </c>
      <c r="D43" s="311" t="s">
        <v>408</v>
      </c>
      <c r="E43" s="312">
        <v>1</v>
      </c>
      <c r="F43" s="313" t="s">
        <v>438</v>
      </c>
      <c r="G43" s="314">
        <v>491</v>
      </c>
      <c r="H43" s="643">
        <v>486</v>
      </c>
      <c r="I43" s="315">
        <v>468</v>
      </c>
      <c r="J43" s="315">
        <v>450</v>
      </c>
      <c r="K43" s="315">
        <v>438</v>
      </c>
      <c r="L43" s="315">
        <v>445</v>
      </c>
      <c r="M43" s="315" t="e">
        <v>#REF!</v>
      </c>
      <c r="N43" s="315" t="e">
        <v>#REF!</v>
      </c>
      <c r="O43" s="315" t="e">
        <v>#REF!</v>
      </c>
      <c r="P43" s="315" t="e">
        <v>#REF!</v>
      </c>
      <c r="Q43" s="316" t="e">
        <v>#REF!</v>
      </c>
      <c r="R43" s="551">
        <f t="shared" si="21"/>
        <v>491</v>
      </c>
      <c r="S43" s="317"/>
      <c r="T43" s="317"/>
      <c r="U43" s="317"/>
      <c r="V43" s="317"/>
      <c r="W43" s="318"/>
      <c r="X43" s="318"/>
      <c r="Y43" s="318"/>
      <c r="Z43" s="318"/>
      <c r="AA43" s="319"/>
      <c r="AB43" s="320">
        <f t="shared" si="5"/>
        <v>491</v>
      </c>
      <c r="AC43" s="301">
        <f t="shared" si="6"/>
        <v>491</v>
      </c>
      <c r="AD43" s="321">
        <f t="shared" si="7"/>
        <v>473</v>
      </c>
      <c r="AE43" s="321">
        <f t="shared" si="8"/>
        <v>455</v>
      </c>
      <c r="AF43" s="321">
        <f t="shared" si="9"/>
        <v>443</v>
      </c>
      <c r="AG43" s="321">
        <f t="shared" si="10"/>
        <v>450</v>
      </c>
      <c r="AH43" s="321" t="e">
        <f t="shared" si="22"/>
        <v>#REF!</v>
      </c>
      <c r="AI43" s="321" t="e">
        <f t="shared" si="22"/>
        <v>#REF!</v>
      </c>
      <c r="AJ43" s="321" t="e">
        <f t="shared" si="22"/>
        <v>#REF!</v>
      </c>
      <c r="AK43" s="322" t="e">
        <f t="shared" si="22"/>
        <v>#REF!</v>
      </c>
      <c r="AL43" s="323" t="e">
        <f t="shared" si="22"/>
        <v>#REF!</v>
      </c>
      <c r="AM43" s="324" t="s">
        <v>438</v>
      </c>
      <c r="AO43" s="306">
        <f t="shared" si="11"/>
        <v>-5</v>
      </c>
      <c r="AP43" s="306">
        <f t="shared" si="12"/>
        <v>-5</v>
      </c>
      <c r="AQ43" s="306">
        <f t="shared" si="13"/>
        <v>0</v>
      </c>
      <c r="AR43" s="306">
        <f t="shared" si="14"/>
        <v>-3</v>
      </c>
      <c r="AS43" s="289"/>
      <c r="AT43" s="325">
        <f t="shared" si="15"/>
        <v>0</v>
      </c>
      <c r="AU43" s="263">
        <f t="shared" si="15"/>
        <v>-18</v>
      </c>
      <c r="AV43" s="263">
        <f t="shared" si="15"/>
        <v>-18</v>
      </c>
      <c r="AW43" s="263">
        <f t="shared" si="15"/>
        <v>-12</v>
      </c>
      <c r="AX43" s="308">
        <f t="shared" si="15"/>
        <v>7</v>
      </c>
    </row>
    <row r="44" spans="1:50" ht="15.5" x14ac:dyDescent="0.35">
      <c r="A44" s="262"/>
      <c r="B44" s="326">
        <v>6071</v>
      </c>
      <c r="C44" s="327">
        <v>71</v>
      </c>
      <c r="D44" s="328" t="s">
        <v>404</v>
      </c>
      <c r="E44" s="329">
        <v>1</v>
      </c>
      <c r="F44" s="313" t="s">
        <v>439</v>
      </c>
      <c r="G44" s="314">
        <v>462</v>
      </c>
      <c r="H44" s="643">
        <v>422</v>
      </c>
      <c r="I44" s="315">
        <v>399</v>
      </c>
      <c r="J44" s="315">
        <v>365</v>
      </c>
      <c r="K44" s="315">
        <v>344</v>
      </c>
      <c r="L44" s="315">
        <v>325</v>
      </c>
      <c r="M44" s="315" t="e">
        <v>#REF!</v>
      </c>
      <c r="N44" s="315" t="e">
        <v>#REF!</v>
      </c>
      <c r="O44" s="315" t="e">
        <v>#REF!</v>
      </c>
      <c r="P44" s="315" t="e">
        <v>#REF!</v>
      </c>
      <c r="Q44" s="316" t="e">
        <v>#REF!</v>
      </c>
      <c r="R44" s="551">
        <f t="shared" si="21"/>
        <v>467</v>
      </c>
      <c r="S44" s="317"/>
      <c r="T44" s="317"/>
      <c r="U44" s="317"/>
      <c r="V44" s="317"/>
      <c r="W44" s="318"/>
      <c r="X44" s="318"/>
      <c r="Y44" s="318"/>
      <c r="Z44" s="318"/>
      <c r="AA44" s="319"/>
      <c r="AB44" s="320">
        <f t="shared" si="5"/>
        <v>462</v>
      </c>
      <c r="AC44" s="301">
        <f t="shared" si="6"/>
        <v>467</v>
      </c>
      <c r="AD44" s="321">
        <f t="shared" si="7"/>
        <v>444</v>
      </c>
      <c r="AE44" s="321">
        <f t="shared" si="8"/>
        <v>410</v>
      </c>
      <c r="AF44" s="321">
        <f t="shared" si="9"/>
        <v>389</v>
      </c>
      <c r="AG44" s="321">
        <f t="shared" si="10"/>
        <v>370</v>
      </c>
      <c r="AH44" s="321" t="e">
        <f t="shared" si="22"/>
        <v>#REF!</v>
      </c>
      <c r="AI44" s="321" t="e">
        <f t="shared" si="22"/>
        <v>#REF!</v>
      </c>
      <c r="AJ44" s="321" t="e">
        <f t="shared" si="22"/>
        <v>#REF!</v>
      </c>
      <c r="AK44" s="322" t="e">
        <f t="shared" si="22"/>
        <v>#REF!</v>
      </c>
      <c r="AL44" s="323" t="e">
        <f t="shared" si="22"/>
        <v>#REF!</v>
      </c>
      <c r="AM44" s="324" t="s">
        <v>439</v>
      </c>
      <c r="AO44" s="306">
        <f t="shared" si="11"/>
        <v>-45</v>
      </c>
      <c r="AP44" s="306">
        <f t="shared" si="12"/>
        <v>-40</v>
      </c>
      <c r="AQ44" s="306">
        <f t="shared" si="13"/>
        <v>5</v>
      </c>
      <c r="AR44" s="306">
        <f t="shared" si="14"/>
        <v>-18</v>
      </c>
      <c r="AS44" s="289"/>
      <c r="AT44" s="325">
        <f t="shared" si="15"/>
        <v>5</v>
      </c>
      <c r="AU44" s="263">
        <f t="shared" si="15"/>
        <v>-23</v>
      </c>
      <c r="AV44" s="263">
        <f t="shared" si="15"/>
        <v>-34</v>
      </c>
      <c r="AW44" s="263">
        <f t="shared" si="15"/>
        <v>-21</v>
      </c>
      <c r="AX44" s="308">
        <f t="shared" si="15"/>
        <v>-19</v>
      </c>
    </row>
    <row r="45" spans="1:50" ht="15.5" x14ac:dyDescent="0.35">
      <c r="A45" s="262"/>
      <c r="B45" s="290">
        <v>2081</v>
      </c>
      <c r="C45" s="291">
        <v>34</v>
      </c>
      <c r="D45" s="292" t="s">
        <v>406</v>
      </c>
      <c r="E45" s="262">
        <v>1</v>
      </c>
      <c r="F45" s="313" t="s">
        <v>389</v>
      </c>
      <c r="G45" s="314">
        <v>531</v>
      </c>
      <c r="H45" s="301">
        <v>548</v>
      </c>
      <c r="I45" s="318">
        <v>552</v>
      </c>
      <c r="J45" s="318">
        <v>538</v>
      </c>
      <c r="K45" s="318">
        <v>551</v>
      </c>
      <c r="L45" s="318">
        <v>540</v>
      </c>
      <c r="M45" s="315" t="e">
        <v>#REF!</v>
      </c>
      <c r="N45" s="315" t="e">
        <v>#REF!</v>
      </c>
      <c r="O45" s="315" t="e">
        <v>#REF!</v>
      </c>
      <c r="P45" s="315" t="e">
        <v>#REF!</v>
      </c>
      <c r="Q45" s="316" t="e">
        <v>#REF!</v>
      </c>
      <c r="R45" s="551">
        <f t="shared" si="21"/>
        <v>500</v>
      </c>
      <c r="S45" s="317"/>
      <c r="T45" s="317"/>
      <c r="U45" s="317"/>
      <c r="V45" s="317"/>
      <c r="W45" s="318"/>
      <c r="X45" s="318"/>
      <c r="Y45" s="318"/>
      <c r="Z45" s="318"/>
      <c r="AA45" s="319"/>
      <c r="AB45" s="320">
        <f t="shared" si="5"/>
        <v>531</v>
      </c>
      <c r="AC45" s="301">
        <f t="shared" si="6"/>
        <v>500</v>
      </c>
      <c r="AD45" s="321">
        <f t="shared" si="7"/>
        <v>504</v>
      </c>
      <c r="AE45" s="321">
        <f t="shared" si="8"/>
        <v>490</v>
      </c>
      <c r="AF45" s="321">
        <f t="shared" si="9"/>
        <v>503</v>
      </c>
      <c r="AG45" s="321">
        <f t="shared" si="10"/>
        <v>492</v>
      </c>
      <c r="AH45" s="321" t="e">
        <f t="shared" si="22"/>
        <v>#REF!</v>
      </c>
      <c r="AI45" s="321" t="e">
        <f t="shared" si="22"/>
        <v>#REF!</v>
      </c>
      <c r="AJ45" s="321" t="e">
        <f t="shared" si="22"/>
        <v>#REF!</v>
      </c>
      <c r="AK45" s="322" t="e">
        <f t="shared" si="22"/>
        <v>#REF!</v>
      </c>
      <c r="AL45" s="323" t="e">
        <f t="shared" si="22"/>
        <v>#REF!</v>
      </c>
      <c r="AM45" s="324" t="s">
        <v>389</v>
      </c>
      <c r="AO45" s="306">
        <f t="shared" si="11"/>
        <v>48</v>
      </c>
      <c r="AP45" s="306">
        <f t="shared" si="12"/>
        <v>17</v>
      </c>
      <c r="AQ45" s="306">
        <f t="shared" si="13"/>
        <v>-31</v>
      </c>
      <c r="AR45" s="306">
        <f t="shared" si="14"/>
        <v>-7</v>
      </c>
      <c r="AS45" s="289"/>
      <c r="AT45" s="325">
        <f t="shared" si="15"/>
        <v>-31</v>
      </c>
      <c r="AU45" s="263">
        <f t="shared" si="15"/>
        <v>4</v>
      </c>
      <c r="AV45" s="263">
        <f t="shared" si="15"/>
        <v>-14</v>
      </c>
      <c r="AW45" s="263">
        <f t="shared" si="15"/>
        <v>13</v>
      </c>
      <c r="AX45" s="308">
        <f t="shared" si="15"/>
        <v>-11</v>
      </c>
    </row>
    <row r="46" spans="1:50" ht="15.5" x14ac:dyDescent="0.35">
      <c r="A46" s="262"/>
      <c r="B46" s="309">
        <v>181</v>
      </c>
      <c r="C46" s="310">
        <v>13</v>
      </c>
      <c r="D46" s="311" t="s">
        <v>408</v>
      </c>
      <c r="E46" s="312">
        <v>1</v>
      </c>
      <c r="F46" s="313" t="s">
        <v>440</v>
      </c>
      <c r="G46" s="314">
        <v>439</v>
      </c>
      <c r="H46" s="651">
        <v>453</v>
      </c>
      <c r="I46" s="650">
        <v>487</v>
      </c>
      <c r="J46" s="650">
        <v>506</v>
      </c>
      <c r="K46" s="650">
        <v>519</v>
      </c>
      <c r="L46" s="650">
        <v>515</v>
      </c>
      <c r="M46" s="315" t="e">
        <v>#REF!</v>
      </c>
      <c r="N46" s="315" t="e">
        <v>#REF!</v>
      </c>
      <c r="O46" s="315" t="e">
        <v>#REF!</v>
      </c>
      <c r="P46" s="315" t="e">
        <v>#REF!</v>
      </c>
      <c r="Q46" s="316" t="e">
        <v>#REF!</v>
      </c>
      <c r="R46" s="551">
        <f t="shared" si="21"/>
        <v>430</v>
      </c>
      <c r="S46" s="317"/>
      <c r="T46" s="317"/>
      <c r="U46" s="317"/>
      <c r="V46" s="317"/>
      <c r="W46" s="318"/>
      <c r="X46" s="318"/>
      <c r="Y46" s="318"/>
      <c r="Z46" s="318"/>
      <c r="AA46" s="319"/>
      <c r="AB46" s="320">
        <f t="shared" si="5"/>
        <v>439</v>
      </c>
      <c r="AC46" s="301">
        <f t="shared" si="6"/>
        <v>430</v>
      </c>
      <c r="AD46" s="321">
        <f t="shared" si="7"/>
        <v>464</v>
      </c>
      <c r="AE46" s="321">
        <f t="shared" si="8"/>
        <v>483</v>
      </c>
      <c r="AF46" s="321">
        <f t="shared" si="9"/>
        <v>496</v>
      </c>
      <c r="AG46" s="321">
        <f t="shared" si="10"/>
        <v>492</v>
      </c>
      <c r="AH46" s="321" t="e">
        <f t="shared" si="22"/>
        <v>#REF!</v>
      </c>
      <c r="AI46" s="321" t="e">
        <f t="shared" si="22"/>
        <v>#REF!</v>
      </c>
      <c r="AJ46" s="321" t="e">
        <f t="shared" si="22"/>
        <v>#REF!</v>
      </c>
      <c r="AK46" s="322" t="e">
        <f t="shared" si="22"/>
        <v>#REF!</v>
      </c>
      <c r="AL46" s="323" t="e">
        <f t="shared" si="22"/>
        <v>#REF!</v>
      </c>
      <c r="AM46" s="324" t="s">
        <v>440</v>
      </c>
      <c r="AO46" s="306">
        <f t="shared" si="11"/>
        <v>23</v>
      </c>
      <c r="AP46" s="306">
        <f t="shared" si="12"/>
        <v>14</v>
      </c>
      <c r="AQ46" s="306">
        <f t="shared" si="13"/>
        <v>-9</v>
      </c>
      <c r="AR46" s="306">
        <f t="shared" si="14"/>
        <v>3</v>
      </c>
      <c r="AS46" s="289"/>
      <c r="AT46" s="325">
        <f t="shared" si="15"/>
        <v>-9</v>
      </c>
      <c r="AU46" s="263">
        <f t="shared" si="15"/>
        <v>34</v>
      </c>
      <c r="AV46" s="263">
        <f t="shared" si="15"/>
        <v>19</v>
      </c>
      <c r="AW46" s="263">
        <f t="shared" si="15"/>
        <v>13</v>
      </c>
      <c r="AX46" s="308">
        <f t="shared" si="15"/>
        <v>-4</v>
      </c>
    </row>
    <row r="47" spans="1:50" ht="15.5" x14ac:dyDescent="0.35">
      <c r="A47" s="262"/>
      <c r="B47" s="326">
        <v>2061</v>
      </c>
      <c r="C47" s="327">
        <v>32</v>
      </c>
      <c r="D47" s="328" t="s">
        <v>406</v>
      </c>
      <c r="E47" s="329">
        <v>1</v>
      </c>
      <c r="F47" s="313" t="s">
        <v>441</v>
      </c>
      <c r="G47" s="314">
        <v>604</v>
      </c>
      <c r="H47" s="643">
        <v>588</v>
      </c>
      <c r="I47" s="315">
        <v>571</v>
      </c>
      <c r="J47" s="315">
        <v>584</v>
      </c>
      <c r="K47" s="315">
        <v>559</v>
      </c>
      <c r="L47" s="315">
        <v>549</v>
      </c>
      <c r="M47" s="315" t="e">
        <v>#REF!</v>
      </c>
      <c r="N47" s="315" t="e">
        <v>#REF!</v>
      </c>
      <c r="O47" s="315" t="e">
        <v>#REF!</v>
      </c>
      <c r="P47" s="315" t="e">
        <v>#REF!</v>
      </c>
      <c r="Q47" s="316" t="e">
        <v>#REF!</v>
      </c>
      <c r="R47" s="556">
        <f t="shared" si="21"/>
        <v>595</v>
      </c>
      <c r="S47" s="317"/>
      <c r="T47" s="317"/>
      <c r="U47" s="317"/>
      <c r="V47" s="317"/>
      <c r="W47" s="318"/>
      <c r="X47" s="318"/>
      <c r="Y47" s="318"/>
      <c r="Z47" s="318"/>
      <c r="AA47" s="319"/>
      <c r="AB47" s="320">
        <f t="shared" si="5"/>
        <v>604</v>
      </c>
      <c r="AC47" s="301">
        <f t="shared" si="6"/>
        <v>595</v>
      </c>
      <c r="AD47" s="321">
        <f t="shared" si="7"/>
        <v>578</v>
      </c>
      <c r="AE47" s="321">
        <f t="shared" si="8"/>
        <v>591</v>
      </c>
      <c r="AF47" s="321">
        <f t="shared" si="9"/>
        <v>566</v>
      </c>
      <c r="AG47" s="321">
        <f t="shared" si="10"/>
        <v>556</v>
      </c>
      <c r="AH47" s="321" t="e">
        <f t="shared" si="22"/>
        <v>#REF!</v>
      </c>
      <c r="AI47" s="321" t="e">
        <f t="shared" si="22"/>
        <v>#REF!</v>
      </c>
      <c r="AJ47" s="321" t="e">
        <f t="shared" si="22"/>
        <v>#REF!</v>
      </c>
      <c r="AK47" s="322" t="e">
        <f t="shared" si="22"/>
        <v>#REF!</v>
      </c>
      <c r="AL47" s="323" t="e">
        <f t="shared" si="22"/>
        <v>#REF!</v>
      </c>
      <c r="AM47" s="324" t="s">
        <v>441</v>
      </c>
      <c r="AO47" s="306">
        <f t="shared" si="11"/>
        <v>-7</v>
      </c>
      <c r="AP47" s="306">
        <f t="shared" si="12"/>
        <v>-16</v>
      </c>
      <c r="AQ47" s="306">
        <f t="shared" si="13"/>
        <v>-9</v>
      </c>
      <c r="AR47" s="306">
        <f t="shared" si="14"/>
        <v>-13</v>
      </c>
      <c r="AS47" s="289"/>
      <c r="AT47" s="325">
        <f t="shared" si="15"/>
        <v>-9</v>
      </c>
      <c r="AU47" s="263">
        <f t="shared" si="15"/>
        <v>-17</v>
      </c>
      <c r="AV47" s="263">
        <f t="shared" si="15"/>
        <v>13</v>
      </c>
      <c r="AW47" s="263">
        <f t="shared" si="15"/>
        <v>-25</v>
      </c>
      <c r="AX47" s="308">
        <f t="shared" si="15"/>
        <v>-10</v>
      </c>
    </row>
    <row r="48" spans="1:50" ht="15.5" x14ac:dyDescent="0.35">
      <c r="A48" s="262"/>
      <c r="B48" s="290">
        <v>3151</v>
      </c>
      <c r="C48" s="291">
        <v>114</v>
      </c>
      <c r="D48" s="292" t="s">
        <v>404</v>
      </c>
      <c r="E48" s="262">
        <v>1</v>
      </c>
      <c r="F48" s="313" t="s">
        <v>442</v>
      </c>
      <c r="G48" s="314">
        <v>673</v>
      </c>
      <c r="H48" s="651">
        <v>643</v>
      </c>
      <c r="I48" s="650">
        <v>644</v>
      </c>
      <c r="J48" s="650">
        <v>607</v>
      </c>
      <c r="K48" s="650">
        <v>599</v>
      </c>
      <c r="L48" s="650">
        <v>578</v>
      </c>
      <c r="M48" s="315" t="e">
        <v>#REF!</v>
      </c>
      <c r="N48" s="315" t="e">
        <v>#REF!</v>
      </c>
      <c r="O48" s="315" t="e">
        <v>#REF!</v>
      </c>
      <c r="P48" s="315" t="e">
        <v>#REF!</v>
      </c>
      <c r="Q48" s="316" t="e">
        <v>#REF!</v>
      </c>
      <c r="R48" s="551">
        <f t="shared" si="21"/>
        <v>650</v>
      </c>
      <c r="S48" s="554"/>
      <c r="T48" s="317"/>
      <c r="U48" s="317"/>
      <c r="V48" s="317"/>
      <c r="W48" s="318"/>
      <c r="X48" s="318"/>
      <c r="Y48" s="318"/>
      <c r="Z48" s="318"/>
      <c r="AA48" s="319"/>
      <c r="AB48" s="320">
        <f t="shared" si="5"/>
        <v>673</v>
      </c>
      <c r="AC48" s="301">
        <f t="shared" si="6"/>
        <v>650</v>
      </c>
      <c r="AD48" s="321">
        <f>(I48-H48)+AC48</f>
        <v>651</v>
      </c>
      <c r="AE48" s="321">
        <f t="shared" si="8"/>
        <v>614</v>
      </c>
      <c r="AF48" s="321">
        <f t="shared" si="9"/>
        <v>606</v>
      </c>
      <c r="AG48" s="321">
        <f t="shared" si="10"/>
        <v>585</v>
      </c>
      <c r="AH48" s="321" t="e">
        <f t="shared" si="22"/>
        <v>#REF!</v>
      </c>
      <c r="AI48" s="321" t="e">
        <f t="shared" si="22"/>
        <v>#REF!</v>
      </c>
      <c r="AJ48" s="321" t="e">
        <f t="shared" si="22"/>
        <v>#REF!</v>
      </c>
      <c r="AK48" s="322" t="e">
        <f t="shared" si="22"/>
        <v>#REF!</v>
      </c>
      <c r="AL48" s="323" t="e">
        <f t="shared" si="22"/>
        <v>#REF!</v>
      </c>
      <c r="AM48" s="324" t="s">
        <v>442</v>
      </c>
      <c r="AO48" s="306">
        <f t="shared" si="11"/>
        <v>-7</v>
      </c>
      <c r="AP48" s="306">
        <f t="shared" si="12"/>
        <v>-30</v>
      </c>
      <c r="AQ48" s="306">
        <f t="shared" si="13"/>
        <v>-23</v>
      </c>
      <c r="AR48" s="306">
        <f t="shared" si="14"/>
        <v>-27</v>
      </c>
      <c r="AS48" s="289"/>
      <c r="AT48" s="325">
        <f t="shared" si="15"/>
        <v>-23</v>
      </c>
      <c r="AU48" s="263">
        <f t="shared" si="15"/>
        <v>1</v>
      </c>
      <c r="AV48" s="263">
        <f t="shared" si="15"/>
        <v>-37</v>
      </c>
      <c r="AW48" s="263">
        <f t="shared" si="15"/>
        <v>-8</v>
      </c>
      <c r="AX48" s="308">
        <f t="shared" si="15"/>
        <v>-21</v>
      </c>
    </row>
    <row r="49" spans="1:50" ht="15.5" x14ac:dyDescent="0.35">
      <c r="A49" s="262"/>
      <c r="B49" s="326">
        <v>2171</v>
      </c>
      <c r="C49" s="327">
        <v>41</v>
      </c>
      <c r="D49" s="328" t="s">
        <v>406</v>
      </c>
      <c r="E49" s="329">
        <v>1</v>
      </c>
      <c r="F49" s="313" t="s">
        <v>443</v>
      </c>
      <c r="G49" s="314">
        <v>737</v>
      </c>
      <c r="H49" s="643">
        <v>734</v>
      </c>
      <c r="I49" s="315">
        <v>747</v>
      </c>
      <c r="J49" s="315">
        <v>749</v>
      </c>
      <c r="K49" s="315">
        <v>736</v>
      </c>
      <c r="L49" s="315">
        <v>748</v>
      </c>
      <c r="M49" s="315" t="e">
        <v>#REF!</v>
      </c>
      <c r="N49" s="315" t="e">
        <v>#REF!</v>
      </c>
      <c r="O49" s="315" t="e">
        <v>#REF!</v>
      </c>
      <c r="P49" s="315" t="e">
        <v>#REF!</v>
      </c>
      <c r="Q49" s="316" t="e">
        <v>#REF!</v>
      </c>
      <c r="R49" s="557">
        <f t="shared" si="21"/>
        <v>745</v>
      </c>
      <c r="S49" s="317"/>
      <c r="T49" s="317"/>
      <c r="U49" s="317"/>
      <c r="V49" s="317"/>
      <c r="W49" s="318"/>
      <c r="X49" s="318"/>
      <c r="Y49" s="318"/>
      <c r="Z49" s="318"/>
      <c r="AA49" s="319"/>
      <c r="AB49" s="320">
        <f t="shared" si="5"/>
        <v>737</v>
      </c>
      <c r="AC49" s="301">
        <f t="shared" si="6"/>
        <v>745</v>
      </c>
      <c r="AD49" s="321">
        <f t="shared" si="7"/>
        <v>758</v>
      </c>
      <c r="AE49" s="321">
        <f t="shared" si="8"/>
        <v>760</v>
      </c>
      <c r="AF49" s="321">
        <f t="shared" si="9"/>
        <v>747</v>
      </c>
      <c r="AG49" s="321">
        <f t="shared" si="10"/>
        <v>759</v>
      </c>
      <c r="AH49" s="321" t="e">
        <f t="shared" si="22"/>
        <v>#REF!</v>
      </c>
      <c r="AI49" s="321" t="e">
        <f t="shared" si="22"/>
        <v>#REF!</v>
      </c>
      <c r="AJ49" s="321" t="e">
        <f t="shared" si="22"/>
        <v>#REF!</v>
      </c>
      <c r="AK49" s="322" t="e">
        <f t="shared" si="22"/>
        <v>#REF!</v>
      </c>
      <c r="AL49" s="323" t="e">
        <f t="shared" si="22"/>
        <v>#REF!</v>
      </c>
      <c r="AM49" s="324" t="s">
        <v>443</v>
      </c>
      <c r="AO49" s="306">
        <f t="shared" si="11"/>
        <v>-11</v>
      </c>
      <c r="AP49" s="306">
        <f t="shared" si="12"/>
        <v>-3</v>
      </c>
      <c r="AQ49" s="306">
        <f t="shared" si="13"/>
        <v>8</v>
      </c>
      <c r="AR49" s="306">
        <f t="shared" si="14"/>
        <v>3</v>
      </c>
      <c r="AS49" s="289"/>
      <c r="AT49" s="325">
        <f t="shared" si="15"/>
        <v>8</v>
      </c>
      <c r="AU49" s="263">
        <f t="shared" si="15"/>
        <v>13</v>
      </c>
      <c r="AV49" s="263">
        <f t="shared" si="15"/>
        <v>2</v>
      </c>
      <c r="AW49" s="263">
        <f t="shared" si="15"/>
        <v>-13</v>
      </c>
      <c r="AX49" s="308">
        <f t="shared" si="15"/>
        <v>12</v>
      </c>
    </row>
    <row r="50" spans="1:50" ht="15.5" x14ac:dyDescent="0.35">
      <c r="A50" s="262"/>
      <c r="B50" s="290">
        <v>5012</v>
      </c>
      <c r="C50" s="291">
        <v>63</v>
      </c>
      <c r="D50" s="292" t="s">
        <v>408</v>
      </c>
      <c r="E50" s="262">
        <v>1</v>
      </c>
      <c r="F50" s="313" t="s">
        <v>444</v>
      </c>
      <c r="G50" s="314">
        <v>276</v>
      </c>
      <c r="H50" s="643">
        <v>251</v>
      </c>
      <c r="I50" s="315">
        <v>240</v>
      </c>
      <c r="J50" s="315">
        <v>230</v>
      </c>
      <c r="K50" s="315">
        <v>229</v>
      </c>
      <c r="L50" s="315">
        <v>217</v>
      </c>
      <c r="M50" s="315" t="e">
        <v>#REF!</v>
      </c>
      <c r="N50" s="315" t="e">
        <v>#REF!</v>
      </c>
      <c r="O50" s="315" t="e">
        <v>#REF!</v>
      </c>
      <c r="P50" s="315" t="e">
        <v>#REF!</v>
      </c>
      <c r="Q50" s="316" t="e">
        <v>#REF!</v>
      </c>
      <c r="R50" s="551">
        <f t="shared" si="21"/>
        <v>251</v>
      </c>
      <c r="S50" s="317"/>
      <c r="T50" s="317"/>
      <c r="U50" s="317"/>
      <c r="V50" s="317"/>
      <c r="W50" s="318"/>
      <c r="X50" s="318"/>
      <c r="Y50" s="318"/>
      <c r="Z50" s="318"/>
      <c r="AA50" s="319"/>
      <c r="AB50" s="320">
        <f t="shared" si="5"/>
        <v>276</v>
      </c>
      <c r="AC50" s="301">
        <f t="shared" si="6"/>
        <v>251</v>
      </c>
      <c r="AD50" s="321">
        <f t="shared" si="7"/>
        <v>240</v>
      </c>
      <c r="AE50" s="321">
        <f t="shared" si="8"/>
        <v>230</v>
      </c>
      <c r="AF50" s="321">
        <f t="shared" si="9"/>
        <v>229</v>
      </c>
      <c r="AG50" s="321">
        <f t="shared" si="10"/>
        <v>217</v>
      </c>
      <c r="AH50" s="321" t="e">
        <f t="shared" si="22"/>
        <v>#REF!</v>
      </c>
      <c r="AI50" s="321" t="e">
        <f t="shared" si="22"/>
        <v>#REF!</v>
      </c>
      <c r="AJ50" s="321" t="e">
        <f t="shared" si="22"/>
        <v>#REF!</v>
      </c>
      <c r="AK50" s="322" t="e">
        <f t="shared" si="22"/>
        <v>#REF!</v>
      </c>
      <c r="AL50" s="323" t="e">
        <f t="shared" si="22"/>
        <v>#REF!</v>
      </c>
      <c r="AM50" s="324" t="s">
        <v>444</v>
      </c>
      <c r="AO50" s="306">
        <f t="shared" si="11"/>
        <v>0</v>
      </c>
      <c r="AP50" s="306">
        <f t="shared" si="12"/>
        <v>-25</v>
      </c>
      <c r="AQ50" s="306">
        <f t="shared" si="13"/>
        <v>-25</v>
      </c>
      <c r="AR50" s="306">
        <f t="shared" si="14"/>
        <v>-25</v>
      </c>
      <c r="AS50" s="289"/>
      <c r="AT50" s="325">
        <f t="shared" si="15"/>
        <v>-25</v>
      </c>
      <c r="AU50" s="263">
        <f t="shared" si="15"/>
        <v>-11</v>
      </c>
      <c r="AV50" s="263">
        <f t="shared" si="15"/>
        <v>-10</v>
      </c>
      <c r="AW50" s="263">
        <f t="shared" si="15"/>
        <v>-1</v>
      </c>
      <c r="AX50" s="308">
        <f t="shared" si="15"/>
        <v>-12</v>
      </c>
    </row>
    <row r="51" spans="1:50" ht="15.5" x14ac:dyDescent="0.35">
      <c r="A51" s="262"/>
      <c r="B51" s="309">
        <v>3071</v>
      </c>
      <c r="C51" s="310">
        <v>49</v>
      </c>
      <c r="D51" s="311" t="s">
        <v>404</v>
      </c>
      <c r="E51" s="312">
        <v>1</v>
      </c>
      <c r="F51" s="313" t="s">
        <v>445</v>
      </c>
      <c r="G51" s="314">
        <v>464</v>
      </c>
      <c r="H51" s="643">
        <v>461</v>
      </c>
      <c r="I51" s="315">
        <v>457</v>
      </c>
      <c r="J51" s="315">
        <v>435</v>
      </c>
      <c r="K51" s="315">
        <v>406</v>
      </c>
      <c r="L51" s="315">
        <v>388</v>
      </c>
      <c r="M51" s="315" t="e">
        <v>#REF!</v>
      </c>
      <c r="N51" s="315" t="e">
        <v>#REF!</v>
      </c>
      <c r="O51" s="315" t="e">
        <v>#REF!</v>
      </c>
      <c r="P51" s="315" t="e">
        <v>#REF!</v>
      </c>
      <c r="Q51" s="316" t="e">
        <v>#REF!</v>
      </c>
      <c r="R51" s="551">
        <f t="shared" si="21"/>
        <v>432</v>
      </c>
      <c r="S51" s="317"/>
      <c r="T51" s="317"/>
      <c r="U51" s="317"/>
      <c r="V51" s="317"/>
      <c r="W51" s="318"/>
      <c r="X51" s="318"/>
      <c r="Y51" s="318"/>
      <c r="Z51" s="318"/>
      <c r="AA51" s="319"/>
      <c r="AB51" s="320">
        <f t="shared" si="5"/>
        <v>464</v>
      </c>
      <c r="AC51" s="301">
        <f t="shared" ref="AC51" si="23">R51</f>
        <v>432</v>
      </c>
      <c r="AD51" s="321">
        <f t="shared" ref="AD51" si="24">(I51-H51)+AC51</f>
        <v>428</v>
      </c>
      <c r="AE51" s="321">
        <f t="shared" ref="AE51" si="25">(J51-I51)+AD51</f>
        <v>406</v>
      </c>
      <c r="AF51" s="321">
        <f t="shared" ref="AF51" si="26">(K51-J51)+AE51</f>
        <v>377</v>
      </c>
      <c r="AG51" s="321">
        <f t="shared" ref="AG51" si="27">(L51-K51)+AF51</f>
        <v>359</v>
      </c>
      <c r="AH51" s="321" t="e">
        <f t="shared" si="22"/>
        <v>#REF!</v>
      </c>
      <c r="AI51" s="321" t="e">
        <f t="shared" si="22"/>
        <v>#REF!</v>
      </c>
      <c r="AJ51" s="321" t="e">
        <f t="shared" si="22"/>
        <v>#REF!</v>
      </c>
      <c r="AK51" s="322" t="e">
        <f t="shared" si="22"/>
        <v>#REF!</v>
      </c>
      <c r="AL51" s="323" t="e">
        <f t="shared" si="22"/>
        <v>#REF!</v>
      </c>
      <c r="AM51" s="324" t="s">
        <v>445</v>
      </c>
      <c r="AO51" s="306">
        <f t="shared" si="11"/>
        <v>29</v>
      </c>
      <c r="AP51" s="306">
        <f t="shared" si="12"/>
        <v>-3</v>
      </c>
      <c r="AQ51" s="306">
        <f t="shared" si="13"/>
        <v>-32</v>
      </c>
      <c r="AR51" s="306">
        <f t="shared" si="14"/>
        <v>-18</v>
      </c>
      <c r="AS51" s="289"/>
      <c r="AT51" s="325">
        <f t="shared" si="15"/>
        <v>-32</v>
      </c>
      <c r="AU51" s="263">
        <f t="shared" si="15"/>
        <v>-4</v>
      </c>
      <c r="AV51" s="263">
        <f t="shared" si="15"/>
        <v>-22</v>
      </c>
      <c r="AW51" s="263">
        <f t="shared" si="15"/>
        <v>-29</v>
      </c>
      <c r="AX51" s="308">
        <f t="shared" si="15"/>
        <v>-18</v>
      </c>
    </row>
    <row r="52" spans="1:50" ht="15.5" x14ac:dyDescent="0.35">
      <c r="A52" s="262"/>
      <c r="B52" s="326">
        <v>1131</v>
      </c>
      <c r="C52" s="327">
        <v>26</v>
      </c>
      <c r="D52" s="328" t="s">
        <v>404</v>
      </c>
      <c r="E52" s="329">
        <v>1</v>
      </c>
      <c r="F52" s="313" t="s">
        <v>446</v>
      </c>
      <c r="G52" s="314">
        <v>595</v>
      </c>
      <c r="H52" s="643">
        <v>596</v>
      </c>
      <c r="I52" s="315">
        <v>592</v>
      </c>
      <c r="J52" s="315">
        <v>585</v>
      </c>
      <c r="K52" s="315">
        <v>591</v>
      </c>
      <c r="L52" s="315">
        <v>584</v>
      </c>
      <c r="M52" s="315" t="e">
        <v>#REF!</v>
      </c>
      <c r="N52" s="315" t="e">
        <v>#REF!</v>
      </c>
      <c r="O52" s="315" t="e">
        <v>#REF!</v>
      </c>
      <c r="P52" s="315" t="e">
        <v>#REF!</v>
      </c>
      <c r="Q52" s="316" t="e">
        <v>#REF!</v>
      </c>
      <c r="R52" s="551">
        <f t="shared" si="21"/>
        <v>607</v>
      </c>
      <c r="S52" s="317"/>
      <c r="T52" s="317"/>
      <c r="U52" s="317"/>
      <c r="V52" s="317"/>
      <c r="W52" s="318"/>
      <c r="X52" s="318"/>
      <c r="Y52" s="318"/>
      <c r="Z52" s="318"/>
      <c r="AA52" s="319"/>
      <c r="AB52" s="320">
        <f t="shared" si="5"/>
        <v>595</v>
      </c>
      <c r="AC52" s="301">
        <f t="shared" si="6"/>
        <v>607</v>
      </c>
      <c r="AD52" s="321">
        <f t="shared" si="7"/>
        <v>603</v>
      </c>
      <c r="AE52" s="321">
        <f t="shared" si="8"/>
        <v>596</v>
      </c>
      <c r="AF52" s="321">
        <f t="shared" si="9"/>
        <v>602</v>
      </c>
      <c r="AG52" s="321">
        <f t="shared" si="10"/>
        <v>595</v>
      </c>
      <c r="AH52" s="321" t="e">
        <f t="shared" si="22"/>
        <v>#REF!</v>
      </c>
      <c r="AI52" s="321" t="e">
        <f t="shared" si="22"/>
        <v>#REF!</v>
      </c>
      <c r="AJ52" s="321" t="e">
        <f t="shared" si="22"/>
        <v>#REF!</v>
      </c>
      <c r="AK52" s="322" t="e">
        <f t="shared" si="22"/>
        <v>#REF!</v>
      </c>
      <c r="AL52" s="323" t="e">
        <f t="shared" si="22"/>
        <v>#REF!</v>
      </c>
      <c r="AM52" s="324" t="s">
        <v>446</v>
      </c>
      <c r="AO52" s="306">
        <f t="shared" si="11"/>
        <v>-11</v>
      </c>
      <c r="AP52" s="306">
        <f t="shared" si="12"/>
        <v>1</v>
      </c>
      <c r="AQ52" s="306">
        <f t="shared" si="13"/>
        <v>12</v>
      </c>
      <c r="AR52" s="306">
        <f t="shared" si="14"/>
        <v>7</v>
      </c>
      <c r="AS52" s="289"/>
      <c r="AT52" s="325">
        <f t="shared" si="15"/>
        <v>12</v>
      </c>
      <c r="AU52" s="263">
        <f t="shared" si="15"/>
        <v>-4</v>
      </c>
      <c r="AV52" s="263">
        <f t="shared" si="15"/>
        <v>-7</v>
      </c>
      <c r="AW52" s="263">
        <f t="shared" si="15"/>
        <v>6</v>
      </c>
      <c r="AX52" s="308">
        <f t="shared" si="15"/>
        <v>-7</v>
      </c>
    </row>
    <row r="53" spans="1:50" ht="15.5" x14ac:dyDescent="0.35">
      <c r="A53" s="262"/>
      <c r="B53" s="290">
        <v>6051</v>
      </c>
      <c r="C53" s="291">
        <v>69</v>
      </c>
      <c r="D53" s="292" t="s">
        <v>404</v>
      </c>
      <c r="E53" s="262">
        <v>1</v>
      </c>
      <c r="F53" s="313" t="s">
        <v>447</v>
      </c>
      <c r="G53" s="314">
        <v>309</v>
      </c>
      <c r="H53" s="643">
        <v>305</v>
      </c>
      <c r="I53" s="315">
        <v>302</v>
      </c>
      <c r="J53" s="315">
        <v>296</v>
      </c>
      <c r="K53" s="315">
        <v>291</v>
      </c>
      <c r="L53" s="315">
        <v>274</v>
      </c>
      <c r="M53" s="315" t="e">
        <v>#REF!</v>
      </c>
      <c r="N53" s="315" t="e">
        <v>#REF!</v>
      </c>
      <c r="O53" s="315" t="e">
        <v>#REF!</v>
      </c>
      <c r="P53" s="315" t="e">
        <v>#REF!</v>
      </c>
      <c r="Q53" s="316" t="e">
        <v>#REF!</v>
      </c>
      <c r="R53" s="551">
        <f t="shared" si="21"/>
        <v>307</v>
      </c>
      <c r="S53" s="317"/>
      <c r="T53" s="317"/>
      <c r="U53" s="317"/>
      <c r="V53" s="317"/>
      <c r="W53" s="318"/>
      <c r="X53" s="318"/>
      <c r="Y53" s="318"/>
      <c r="Z53" s="318"/>
      <c r="AA53" s="319"/>
      <c r="AB53" s="320">
        <f t="shared" si="5"/>
        <v>309</v>
      </c>
      <c r="AC53" s="301">
        <f t="shared" si="6"/>
        <v>307</v>
      </c>
      <c r="AD53" s="321">
        <f t="shared" si="7"/>
        <v>304</v>
      </c>
      <c r="AE53" s="321">
        <f t="shared" si="8"/>
        <v>298</v>
      </c>
      <c r="AF53" s="321">
        <f t="shared" si="9"/>
        <v>293</v>
      </c>
      <c r="AG53" s="321">
        <f t="shared" si="10"/>
        <v>276</v>
      </c>
      <c r="AH53" s="321" t="e">
        <f t="shared" si="22"/>
        <v>#REF!</v>
      </c>
      <c r="AI53" s="321" t="e">
        <f t="shared" si="22"/>
        <v>#REF!</v>
      </c>
      <c r="AJ53" s="321" t="e">
        <f t="shared" si="22"/>
        <v>#REF!</v>
      </c>
      <c r="AK53" s="322" t="e">
        <f t="shared" si="22"/>
        <v>#REF!</v>
      </c>
      <c r="AL53" s="323" t="e">
        <f t="shared" si="22"/>
        <v>#REF!</v>
      </c>
      <c r="AM53" s="324" t="s">
        <v>447</v>
      </c>
      <c r="AO53" s="306">
        <f t="shared" si="11"/>
        <v>-2</v>
      </c>
      <c r="AP53" s="306">
        <f t="shared" si="12"/>
        <v>-4</v>
      </c>
      <c r="AQ53" s="306">
        <f t="shared" si="13"/>
        <v>-2</v>
      </c>
      <c r="AR53" s="306">
        <f t="shared" si="14"/>
        <v>-3</v>
      </c>
      <c r="AS53" s="289"/>
      <c r="AT53" s="325">
        <f t="shared" si="15"/>
        <v>-2</v>
      </c>
      <c r="AU53" s="263">
        <f t="shared" si="15"/>
        <v>-3</v>
      </c>
      <c r="AV53" s="263">
        <f t="shared" si="15"/>
        <v>-6</v>
      </c>
      <c r="AW53" s="263">
        <f t="shared" si="15"/>
        <v>-5</v>
      </c>
      <c r="AX53" s="308">
        <f t="shared" si="15"/>
        <v>-17</v>
      </c>
    </row>
    <row r="54" spans="1:50" ht="15.5" x14ac:dyDescent="0.35">
      <c r="A54" s="262"/>
      <c r="B54" s="309">
        <v>3041</v>
      </c>
      <c r="C54" s="310">
        <v>46</v>
      </c>
      <c r="D54" s="311" t="s">
        <v>404</v>
      </c>
      <c r="E54" s="312">
        <v>1</v>
      </c>
      <c r="F54" s="313" t="s">
        <v>448</v>
      </c>
      <c r="G54" s="314">
        <v>525</v>
      </c>
      <c r="H54" s="643">
        <v>521</v>
      </c>
      <c r="I54" s="315">
        <v>513</v>
      </c>
      <c r="J54" s="315">
        <v>499</v>
      </c>
      <c r="K54" s="315">
        <v>507</v>
      </c>
      <c r="L54" s="315">
        <v>496</v>
      </c>
      <c r="M54" s="315" t="e">
        <v>#REF!</v>
      </c>
      <c r="N54" s="315" t="e">
        <v>#REF!</v>
      </c>
      <c r="O54" s="315" t="e">
        <v>#REF!</v>
      </c>
      <c r="P54" s="315" t="e">
        <v>#REF!</v>
      </c>
      <c r="Q54" s="316" t="e">
        <v>#REF!</v>
      </c>
      <c r="R54" s="551">
        <f t="shared" si="21"/>
        <v>515</v>
      </c>
      <c r="S54" s="317"/>
      <c r="T54" s="317"/>
      <c r="U54" s="317"/>
      <c r="V54" s="317"/>
      <c r="W54" s="318"/>
      <c r="X54" s="318"/>
      <c r="Y54" s="318"/>
      <c r="Z54" s="318"/>
      <c r="AA54" s="319"/>
      <c r="AB54" s="320">
        <f t="shared" si="5"/>
        <v>525</v>
      </c>
      <c r="AC54" s="301">
        <f t="shared" si="6"/>
        <v>515</v>
      </c>
      <c r="AD54" s="321">
        <f t="shared" si="7"/>
        <v>507</v>
      </c>
      <c r="AE54" s="321">
        <f t="shared" si="8"/>
        <v>493</v>
      </c>
      <c r="AF54" s="321">
        <f t="shared" si="9"/>
        <v>501</v>
      </c>
      <c r="AG54" s="321">
        <f t="shared" si="10"/>
        <v>490</v>
      </c>
      <c r="AH54" s="321" t="e">
        <f t="shared" si="22"/>
        <v>#REF!</v>
      </c>
      <c r="AI54" s="321" t="e">
        <f t="shared" si="22"/>
        <v>#REF!</v>
      </c>
      <c r="AJ54" s="321" t="e">
        <f t="shared" si="22"/>
        <v>#REF!</v>
      </c>
      <c r="AK54" s="322" t="e">
        <f t="shared" si="22"/>
        <v>#REF!</v>
      </c>
      <c r="AL54" s="323" t="e">
        <f t="shared" si="22"/>
        <v>#REF!</v>
      </c>
      <c r="AM54" s="324" t="s">
        <v>448</v>
      </c>
      <c r="AO54" s="306">
        <f t="shared" si="11"/>
        <v>6</v>
      </c>
      <c r="AP54" s="306">
        <f t="shared" si="12"/>
        <v>-4</v>
      </c>
      <c r="AQ54" s="306">
        <f t="shared" si="13"/>
        <v>-10</v>
      </c>
      <c r="AR54" s="306">
        <f t="shared" si="14"/>
        <v>-7</v>
      </c>
      <c r="AS54" s="289"/>
      <c r="AT54" s="325">
        <f t="shared" si="15"/>
        <v>-10</v>
      </c>
      <c r="AU54" s="263">
        <f t="shared" si="15"/>
        <v>-8</v>
      </c>
      <c r="AV54" s="263">
        <f t="shared" si="15"/>
        <v>-14</v>
      </c>
      <c r="AW54" s="263">
        <f t="shared" si="15"/>
        <v>8</v>
      </c>
      <c r="AX54" s="308">
        <f t="shared" si="15"/>
        <v>-11</v>
      </c>
    </row>
    <row r="55" spans="1:50" ht="15.5" x14ac:dyDescent="0.35">
      <c r="A55" s="262"/>
      <c r="B55" s="290">
        <v>122</v>
      </c>
      <c r="C55" s="291">
        <v>9</v>
      </c>
      <c r="D55" s="292"/>
      <c r="E55" s="262">
        <v>1</v>
      </c>
      <c r="F55" s="345" t="s">
        <v>449</v>
      </c>
      <c r="G55" s="314">
        <v>484</v>
      </c>
      <c r="H55" s="643">
        <v>484</v>
      </c>
      <c r="I55" s="315">
        <v>484</v>
      </c>
      <c r="J55" s="315">
        <v>484</v>
      </c>
      <c r="K55" s="315">
        <v>484</v>
      </c>
      <c r="L55" s="315">
        <v>484</v>
      </c>
      <c r="M55" s="315" t="e">
        <v>#REF!</v>
      </c>
      <c r="N55" s="315" t="e">
        <v>#REF!</v>
      </c>
      <c r="O55" s="315" t="e">
        <v>#REF!</v>
      </c>
      <c r="P55" s="315" t="e">
        <v>#REF!</v>
      </c>
      <c r="Q55" s="316" t="e">
        <v>#REF!</v>
      </c>
      <c r="R55" s="551">
        <f t="shared" si="21"/>
        <v>506</v>
      </c>
      <c r="S55" s="317"/>
      <c r="T55" s="317"/>
      <c r="U55" s="317"/>
      <c r="V55" s="317"/>
      <c r="W55" s="318"/>
      <c r="X55" s="318"/>
      <c r="Y55" s="318"/>
      <c r="Z55" s="318"/>
      <c r="AA55" s="319"/>
      <c r="AB55" s="320">
        <f t="shared" si="5"/>
        <v>484</v>
      </c>
      <c r="AC55" s="301">
        <f t="shared" si="6"/>
        <v>506</v>
      </c>
      <c r="AD55" s="321">
        <f t="shared" si="7"/>
        <v>506</v>
      </c>
      <c r="AE55" s="321">
        <f t="shared" si="8"/>
        <v>506</v>
      </c>
      <c r="AF55" s="321">
        <f t="shared" si="9"/>
        <v>506</v>
      </c>
      <c r="AG55" s="321">
        <f t="shared" si="10"/>
        <v>506</v>
      </c>
      <c r="AH55" s="321" t="e">
        <f t="shared" si="22"/>
        <v>#REF!</v>
      </c>
      <c r="AI55" s="321" t="e">
        <f t="shared" si="22"/>
        <v>#REF!</v>
      </c>
      <c r="AJ55" s="321" t="e">
        <f t="shared" si="22"/>
        <v>#REF!</v>
      </c>
      <c r="AK55" s="322" t="e">
        <f t="shared" si="22"/>
        <v>#REF!</v>
      </c>
      <c r="AL55" s="323" t="e">
        <f t="shared" si="22"/>
        <v>#REF!</v>
      </c>
      <c r="AM55" s="324" t="s">
        <v>448</v>
      </c>
      <c r="AO55" s="306">
        <f t="shared" si="11"/>
        <v>-22</v>
      </c>
      <c r="AP55" s="306">
        <f t="shared" si="12"/>
        <v>0</v>
      </c>
      <c r="AQ55" s="306">
        <f t="shared" si="13"/>
        <v>22</v>
      </c>
      <c r="AR55" s="306">
        <f t="shared" si="14"/>
        <v>11</v>
      </c>
      <c r="AS55" s="289"/>
      <c r="AT55" s="325">
        <f t="shared" si="15"/>
        <v>22</v>
      </c>
      <c r="AU55" s="263">
        <f t="shared" si="15"/>
        <v>0</v>
      </c>
      <c r="AV55" s="263">
        <f t="shared" si="15"/>
        <v>0</v>
      </c>
      <c r="AW55" s="263">
        <f t="shared" si="15"/>
        <v>0</v>
      </c>
      <c r="AX55" s="308">
        <f t="shared" si="15"/>
        <v>0</v>
      </c>
    </row>
    <row r="56" spans="1:50" ht="15.5" x14ac:dyDescent="0.35">
      <c r="A56" s="262"/>
      <c r="B56" s="290">
        <v>4071</v>
      </c>
      <c r="C56" s="291">
        <v>87</v>
      </c>
      <c r="D56" s="292" t="s">
        <v>408</v>
      </c>
      <c r="E56" s="262">
        <v>1</v>
      </c>
      <c r="F56" s="334" t="s">
        <v>450</v>
      </c>
      <c r="G56" s="314">
        <v>480</v>
      </c>
      <c r="H56" s="643">
        <v>481</v>
      </c>
      <c r="I56" s="315">
        <v>481</v>
      </c>
      <c r="J56" s="315">
        <v>481</v>
      </c>
      <c r="K56" s="315">
        <v>481</v>
      </c>
      <c r="L56" s="315">
        <v>481</v>
      </c>
      <c r="M56" s="315" t="e">
        <v>#REF!</v>
      </c>
      <c r="N56" s="315" t="e">
        <v>#REF!</v>
      </c>
      <c r="O56" s="315" t="e">
        <v>#REF!</v>
      </c>
      <c r="P56" s="315" t="e">
        <v>#REF!</v>
      </c>
      <c r="Q56" s="316" t="e">
        <v>#REF!</v>
      </c>
      <c r="R56" s="551">
        <f t="shared" si="21"/>
        <v>480</v>
      </c>
      <c r="S56" s="317"/>
      <c r="T56" s="317"/>
      <c r="U56" s="317"/>
      <c r="V56" s="317"/>
      <c r="W56" s="318"/>
      <c r="X56" s="318"/>
      <c r="Y56" s="318"/>
      <c r="Z56" s="318"/>
      <c r="AA56" s="319"/>
      <c r="AB56" s="320">
        <f t="shared" si="5"/>
        <v>480</v>
      </c>
      <c r="AC56" s="301">
        <f t="shared" si="6"/>
        <v>480</v>
      </c>
      <c r="AD56" s="321">
        <f t="shared" si="7"/>
        <v>480</v>
      </c>
      <c r="AE56" s="321">
        <f t="shared" si="8"/>
        <v>480</v>
      </c>
      <c r="AF56" s="321">
        <f t="shared" si="9"/>
        <v>480</v>
      </c>
      <c r="AG56" s="321">
        <f t="shared" si="10"/>
        <v>480</v>
      </c>
      <c r="AH56" s="321" t="e">
        <f t="shared" si="22"/>
        <v>#REF!</v>
      </c>
      <c r="AI56" s="321" t="e">
        <f t="shared" si="22"/>
        <v>#REF!</v>
      </c>
      <c r="AJ56" s="321" t="e">
        <f t="shared" si="22"/>
        <v>#REF!</v>
      </c>
      <c r="AK56" s="322" t="e">
        <f t="shared" si="22"/>
        <v>#REF!</v>
      </c>
      <c r="AL56" s="323" t="e">
        <f t="shared" si="22"/>
        <v>#REF!</v>
      </c>
      <c r="AM56" s="335" t="s">
        <v>450</v>
      </c>
      <c r="AO56" s="306">
        <f t="shared" si="11"/>
        <v>1</v>
      </c>
      <c r="AP56" s="306">
        <f t="shared" si="12"/>
        <v>1</v>
      </c>
      <c r="AQ56" s="306">
        <f t="shared" si="13"/>
        <v>0</v>
      </c>
      <c r="AR56" s="306">
        <f t="shared" si="14"/>
        <v>1</v>
      </c>
      <c r="AS56" s="289"/>
      <c r="AT56" s="325">
        <f t="shared" si="15"/>
        <v>0</v>
      </c>
      <c r="AU56" s="263">
        <f t="shared" si="15"/>
        <v>0</v>
      </c>
      <c r="AV56" s="263">
        <f t="shared" si="15"/>
        <v>0</v>
      </c>
      <c r="AW56" s="263">
        <f t="shared" si="15"/>
        <v>0</v>
      </c>
      <c r="AX56" s="308">
        <f t="shared" si="15"/>
        <v>0</v>
      </c>
    </row>
    <row r="57" spans="1:50" ht="15.5" x14ac:dyDescent="0.35">
      <c r="A57" s="262"/>
      <c r="B57" s="309">
        <v>2221</v>
      </c>
      <c r="C57" s="346">
        <v>116</v>
      </c>
      <c r="D57" s="311" t="s">
        <v>406</v>
      </c>
      <c r="E57" s="312">
        <v>1</v>
      </c>
      <c r="F57" s="313" t="s">
        <v>451</v>
      </c>
      <c r="G57" s="314">
        <v>927</v>
      </c>
      <c r="H57" s="301">
        <v>1019</v>
      </c>
      <c r="I57" s="318">
        <v>1098</v>
      </c>
      <c r="J57" s="318">
        <v>1197</v>
      </c>
      <c r="K57" s="318">
        <v>1336</v>
      </c>
      <c r="L57" s="318">
        <v>1414</v>
      </c>
      <c r="M57" s="315" t="e">
        <v>#REF!</v>
      </c>
      <c r="N57" s="315" t="e">
        <v>#REF!</v>
      </c>
      <c r="O57" s="315" t="e">
        <v>#REF!</v>
      </c>
      <c r="P57" s="315" t="e">
        <v>#REF!</v>
      </c>
      <c r="Q57" s="316" t="e">
        <v>#REF!</v>
      </c>
      <c r="R57" s="551">
        <f t="shared" si="21"/>
        <v>947</v>
      </c>
      <c r="S57" s="317"/>
      <c r="T57" s="317"/>
      <c r="U57" s="317"/>
      <c r="V57" s="317"/>
      <c r="W57" s="318"/>
      <c r="X57" s="318"/>
      <c r="Y57" s="318"/>
      <c r="Z57" s="318"/>
      <c r="AA57" s="319"/>
      <c r="AB57" s="320">
        <f t="shared" si="5"/>
        <v>927</v>
      </c>
      <c r="AC57" s="301">
        <f t="shared" si="6"/>
        <v>947</v>
      </c>
      <c r="AD57" s="321">
        <f t="shared" si="7"/>
        <v>1026</v>
      </c>
      <c r="AE57" s="321">
        <f t="shared" si="8"/>
        <v>1125</v>
      </c>
      <c r="AF57" s="321">
        <f t="shared" si="9"/>
        <v>1264</v>
      </c>
      <c r="AG57" s="321">
        <f t="shared" si="10"/>
        <v>1342</v>
      </c>
      <c r="AH57" s="321" t="e">
        <f t="shared" si="22"/>
        <v>#REF!</v>
      </c>
      <c r="AI57" s="321" t="e">
        <f t="shared" si="22"/>
        <v>#REF!</v>
      </c>
      <c r="AJ57" s="321" t="e">
        <f t="shared" si="22"/>
        <v>#REF!</v>
      </c>
      <c r="AK57" s="322" t="e">
        <f t="shared" si="22"/>
        <v>#REF!</v>
      </c>
      <c r="AL57" s="323" t="e">
        <f t="shared" si="22"/>
        <v>#REF!</v>
      </c>
      <c r="AM57" s="324" t="s">
        <v>451</v>
      </c>
      <c r="AO57" s="306">
        <f t="shared" si="11"/>
        <v>72</v>
      </c>
      <c r="AP57" s="306">
        <f t="shared" si="12"/>
        <v>92</v>
      </c>
      <c r="AQ57" s="306">
        <f t="shared" si="13"/>
        <v>20</v>
      </c>
      <c r="AR57" s="306">
        <f t="shared" si="14"/>
        <v>56</v>
      </c>
      <c r="AS57" s="289"/>
      <c r="AT57" s="325">
        <f t="shared" si="15"/>
        <v>20</v>
      </c>
      <c r="AU57" s="263">
        <f t="shared" si="15"/>
        <v>79</v>
      </c>
      <c r="AV57" s="263">
        <f t="shared" si="15"/>
        <v>99</v>
      </c>
      <c r="AW57" s="263">
        <f t="shared" si="15"/>
        <v>139</v>
      </c>
      <c r="AX57" s="308">
        <f t="shared" si="15"/>
        <v>78</v>
      </c>
    </row>
    <row r="58" spans="1:50" ht="15.5" x14ac:dyDescent="0.35">
      <c r="A58" s="262"/>
      <c r="B58" s="326">
        <v>3121</v>
      </c>
      <c r="C58" s="327">
        <v>53</v>
      </c>
      <c r="D58" s="328" t="s">
        <v>404</v>
      </c>
      <c r="E58" s="329">
        <v>1</v>
      </c>
      <c r="F58" s="313" t="s">
        <v>452</v>
      </c>
      <c r="G58" s="314">
        <v>523</v>
      </c>
      <c r="H58" s="643">
        <v>473</v>
      </c>
      <c r="I58" s="315">
        <v>438</v>
      </c>
      <c r="J58" s="315">
        <v>413</v>
      </c>
      <c r="K58" s="315">
        <v>400</v>
      </c>
      <c r="L58" s="315">
        <v>364</v>
      </c>
      <c r="M58" s="315" t="e">
        <v>#REF!</v>
      </c>
      <c r="N58" s="315" t="e">
        <v>#REF!</v>
      </c>
      <c r="O58" s="315" t="e">
        <v>#REF!</v>
      </c>
      <c r="P58" s="315" t="e">
        <v>#REF!</v>
      </c>
      <c r="Q58" s="316" t="e">
        <v>#REF!</v>
      </c>
      <c r="R58" s="551">
        <f t="shared" si="21"/>
        <v>504</v>
      </c>
      <c r="S58" s="317"/>
      <c r="T58" s="317"/>
      <c r="U58" s="317"/>
      <c r="V58" s="317"/>
      <c r="W58" s="318"/>
      <c r="X58" s="318"/>
      <c r="Y58" s="318"/>
      <c r="Z58" s="318"/>
      <c r="AA58" s="319"/>
      <c r="AB58" s="320">
        <f t="shared" si="5"/>
        <v>523</v>
      </c>
      <c r="AC58" s="301">
        <f t="shared" si="6"/>
        <v>504</v>
      </c>
      <c r="AD58" s="321">
        <f t="shared" si="7"/>
        <v>469</v>
      </c>
      <c r="AE58" s="321">
        <f t="shared" si="8"/>
        <v>444</v>
      </c>
      <c r="AF58" s="321">
        <f t="shared" si="9"/>
        <v>431</v>
      </c>
      <c r="AG58" s="321">
        <f t="shared" si="10"/>
        <v>395</v>
      </c>
      <c r="AH58" s="321" t="e">
        <f t="shared" ref="AH58:AL74" si="28">(M58-L58)+AG58</f>
        <v>#REF!</v>
      </c>
      <c r="AI58" s="321" t="e">
        <f t="shared" si="28"/>
        <v>#REF!</v>
      </c>
      <c r="AJ58" s="321" t="e">
        <f t="shared" si="28"/>
        <v>#REF!</v>
      </c>
      <c r="AK58" s="322" t="e">
        <f t="shared" si="28"/>
        <v>#REF!</v>
      </c>
      <c r="AL58" s="323" t="e">
        <f t="shared" si="28"/>
        <v>#REF!</v>
      </c>
      <c r="AM58" s="324" t="s">
        <v>452</v>
      </c>
      <c r="AO58" s="306">
        <f t="shared" si="11"/>
        <v>-31</v>
      </c>
      <c r="AP58" s="306">
        <f t="shared" si="12"/>
        <v>-50</v>
      </c>
      <c r="AQ58" s="306">
        <f t="shared" si="13"/>
        <v>-19</v>
      </c>
      <c r="AR58" s="306">
        <f t="shared" si="14"/>
        <v>-35</v>
      </c>
      <c r="AS58" s="289"/>
      <c r="AT58" s="325">
        <f t="shared" si="15"/>
        <v>-19</v>
      </c>
      <c r="AU58" s="263">
        <f t="shared" si="15"/>
        <v>-35</v>
      </c>
      <c r="AV58" s="263">
        <f t="shared" si="15"/>
        <v>-25</v>
      </c>
      <c r="AW58" s="263">
        <f t="shared" si="15"/>
        <v>-13</v>
      </c>
      <c r="AX58" s="308">
        <f t="shared" si="15"/>
        <v>-36</v>
      </c>
    </row>
    <row r="59" spans="1:50" ht="15.5" x14ac:dyDescent="0.35">
      <c r="A59" s="262"/>
      <c r="B59" s="290">
        <v>6061</v>
      </c>
      <c r="C59" s="291">
        <v>70</v>
      </c>
      <c r="D59" s="292" t="s">
        <v>404</v>
      </c>
      <c r="E59" s="262">
        <v>1</v>
      </c>
      <c r="F59" s="313" t="s">
        <v>453</v>
      </c>
      <c r="G59" s="314">
        <v>406</v>
      </c>
      <c r="H59" s="643">
        <v>394</v>
      </c>
      <c r="I59" s="315">
        <v>374</v>
      </c>
      <c r="J59" s="315">
        <v>371</v>
      </c>
      <c r="K59" s="315">
        <v>365</v>
      </c>
      <c r="L59" s="315">
        <v>362</v>
      </c>
      <c r="M59" s="315" t="e">
        <v>#REF!</v>
      </c>
      <c r="N59" s="315" t="e">
        <v>#REF!</v>
      </c>
      <c r="O59" s="315" t="e">
        <v>#REF!</v>
      </c>
      <c r="P59" s="315" t="e">
        <v>#REF!</v>
      </c>
      <c r="Q59" s="316" t="e">
        <v>#REF!</v>
      </c>
      <c r="R59" s="551">
        <f t="shared" si="21"/>
        <v>406</v>
      </c>
      <c r="S59" s="317"/>
      <c r="T59" s="317"/>
      <c r="U59" s="317"/>
      <c r="V59" s="317"/>
      <c r="W59" s="318"/>
      <c r="X59" s="318"/>
      <c r="Y59" s="318"/>
      <c r="Z59" s="318"/>
      <c r="AA59" s="319"/>
      <c r="AB59" s="320">
        <f t="shared" si="5"/>
        <v>406</v>
      </c>
      <c r="AC59" s="301">
        <f t="shared" si="6"/>
        <v>406</v>
      </c>
      <c r="AD59" s="321">
        <f t="shared" si="7"/>
        <v>386</v>
      </c>
      <c r="AE59" s="321">
        <f t="shared" si="8"/>
        <v>383</v>
      </c>
      <c r="AF59" s="321">
        <f t="shared" si="9"/>
        <v>377</v>
      </c>
      <c r="AG59" s="321">
        <f t="shared" si="10"/>
        <v>374</v>
      </c>
      <c r="AH59" s="321" t="e">
        <f t="shared" si="28"/>
        <v>#REF!</v>
      </c>
      <c r="AI59" s="321" t="e">
        <f t="shared" si="28"/>
        <v>#REF!</v>
      </c>
      <c r="AJ59" s="321" t="e">
        <f t="shared" si="28"/>
        <v>#REF!</v>
      </c>
      <c r="AK59" s="322" t="e">
        <f t="shared" si="28"/>
        <v>#REF!</v>
      </c>
      <c r="AL59" s="323" t="e">
        <f t="shared" si="28"/>
        <v>#REF!</v>
      </c>
      <c r="AM59" s="324" t="s">
        <v>453</v>
      </c>
      <c r="AO59" s="306">
        <f t="shared" si="11"/>
        <v>-12</v>
      </c>
      <c r="AP59" s="306">
        <f t="shared" si="12"/>
        <v>-12</v>
      </c>
      <c r="AQ59" s="306">
        <f t="shared" si="13"/>
        <v>0</v>
      </c>
      <c r="AR59" s="306">
        <f t="shared" si="14"/>
        <v>-6</v>
      </c>
      <c r="AS59" s="289"/>
      <c r="AT59" s="325">
        <f t="shared" si="15"/>
        <v>0</v>
      </c>
      <c r="AU59" s="263">
        <f t="shared" si="15"/>
        <v>-20</v>
      </c>
      <c r="AV59" s="263">
        <f t="shared" si="15"/>
        <v>-3</v>
      </c>
      <c r="AW59" s="263">
        <f t="shared" si="15"/>
        <v>-6</v>
      </c>
      <c r="AX59" s="308">
        <f t="shared" si="15"/>
        <v>-3</v>
      </c>
    </row>
    <row r="60" spans="1:50" ht="15.5" x14ac:dyDescent="0.35">
      <c r="A60" s="262"/>
      <c r="B60" s="309">
        <v>4041</v>
      </c>
      <c r="C60" s="310">
        <v>57</v>
      </c>
      <c r="D60" s="311" t="s">
        <v>408</v>
      </c>
      <c r="E60" s="312">
        <v>1</v>
      </c>
      <c r="F60" s="313" t="s">
        <v>454</v>
      </c>
      <c r="G60" s="314">
        <v>493</v>
      </c>
      <c r="H60" s="643">
        <v>461</v>
      </c>
      <c r="I60" s="315">
        <v>433</v>
      </c>
      <c r="J60" s="315">
        <v>377</v>
      </c>
      <c r="K60" s="315">
        <v>366</v>
      </c>
      <c r="L60" s="315">
        <v>343</v>
      </c>
      <c r="M60" s="315" t="e">
        <v>#REF!</v>
      </c>
      <c r="N60" s="315" t="e">
        <v>#REF!</v>
      </c>
      <c r="O60" s="315" t="e">
        <v>#REF!</v>
      </c>
      <c r="P60" s="315" t="e">
        <v>#REF!</v>
      </c>
      <c r="Q60" s="316" t="e">
        <v>#REF!</v>
      </c>
      <c r="R60" s="551">
        <f t="shared" si="21"/>
        <v>461</v>
      </c>
      <c r="S60" s="317"/>
      <c r="T60" s="317"/>
      <c r="U60" s="317"/>
      <c r="V60" s="317"/>
      <c r="W60" s="318"/>
      <c r="X60" s="318"/>
      <c r="Y60" s="318"/>
      <c r="Z60" s="318"/>
      <c r="AA60" s="319"/>
      <c r="AB60" s="320">
        <f t="shared" si="5"/>
        <v>493</v>
      </c>
      <c r="AC60" s="301">
        <f t="shared" si="6"/>
        <v>461</v>
      </c>
      <c r="AD60" s="321">
        <f t="shared" si="7"/>
        <v>433</v>
      </c>
      <c r="AE60" s="321">
        <f t="shared" si="8"/>
        <v>377</v>
      </c>
      <c r="AF60" s="321">
        <f t="shared" si="9"/>
        <v>366</v>
      </c>
      <c r="AG60" s="321">
        <f t="shared" si="10"/>
        <v>343</v>
      </c>
      <c r="AH60" s="321" t="e">
        <f t="shared" si="28"/>
        <v>#REF!</v>
      </c>
      <c r="AI60" s="321" t="e">
        <f t="shared" si="28"/>
        <v>#REF!</v>
      </c>
      <c r="AJ60" s="321" t="e">
        <f t="shared" si="28"/>
        <v>#REF!</v>
      </c>
      <c r="AK60" s="322" t="e">
        <f t="shared" si="28"/>
        <v>#REF!</v>
      </c>
      <c r="AL60" s="323" t="e">
        <f t="shared" si="28"/>
        <v>#REF!</v>
      </c>
      <c r="AM60" s="324" t="s">
        <v>454</v>
      </c>
      <c r="AO60" s="306">
        <f t="shared" si="11"/>
        <v>0</v>
      </c>
      <c r="AP60" s="306">
        <f t="shared" si="12"/>
        <v>-32</v>
      </c>
      <c r="AQ60" s="306">
        <f t="shared" si="13"/>
        <v>-32</v>
      </c>
      <c r="AR60" s="306">
        <f t="shared" si="14"/>
        <v>-32</v>
      </c>
      <c r="AS60" s="289"/>
      <c r="AT60" s="325">
        <f t="shared" si="15"/>
        <v>-32</v>
      </c>
      <c r="AU60" s="263">
        <f t="shared" si="15"/>
        <v>-28</v>
      </c>
      <c r="AV60" s="263">
        <f t="shared" si="15"/>
        <v>-56</v>
      </c>
      <c r="AW60" s="263">
        <f t="shared" si="15"/>
        <v>-11</v>
      </c>
      <c r="AX60" s="308">
        <f t="shared" si="15"/>
        <v>-23</v>
      </c>
    </row>
    <row r="61" spans="1:50" ht="15.5" x14ac:dyDescent="0.35">
      <c r="A61" s="262"/>
      <c r="B61" s="326">
        <v>2121</v>
      </c>
      <c r="C61" s="327">
        <v>36</v>
      </c>
      <c r="D61" s="328" t="s">
        <v>406</v>
      </c>
      <c r="E61" s="329">
        <v>1</v>
      </c>
      <c r="F61" s="313" t="s">
        <v>455</v>
      </c>
      <c r="G61" s="314">
        <v>590</v>
      </c>
      <c r="H61" s="643">
        <v>643</v>
      </c>
      <c r="I61" s="315">
        <v>669</v>
      </c>
      <c r="J61" s="315">
        <v>685</v>
      </c>
      <c r="K61" s="315">
        <v>694</v>
      </c>
      <c r="L61" s="315">
        <v>689</v>
      </c>
      <c r="M61" s="315" t="e">
        <v>#REF!</v>
      </c>
      <c r="N61" s="315" t="e">
        <v>#REF!</v>
      </c>
      <c r="O61" s="315" t="e">
        <v>#REF!</v>
      </c>
      <c r="P61" s="315" t="e">
        <v>#REF!</v>
      </c>
      <c r="Q61" s="316" t="e">
        <v>#REF!</v>
      </c>
      <c r="R61" s="551">
        <f t="shared" si="21"/>
        <v>592</v>
      </c>
      <c r="S61" s="317"/>
      <c r="T61" s="317"/>
      <c r="U61" s="317"/>
      <c r="V61" s="317"/>
      <c r="W61" s="318"/>
      <c r="X61" s="318"/>
      <c r="Y61" s="318"/>
      <c r="Z61" s="318"/>
      <c r="AA61" s="319"/>
      <c r="AB61" s="320">
        <f t="shared" si="5"/>
        <v>590</v>
      </c>
      <c r="AC61" s="301">
        <f t="shared" si="6"/>
        <v>592</v>
      </c>
      <c r="AD61" s="321">
        <f t="shared" si="7"/>
        <v>618</v>
      </c>
      <c r="AE61" s="321">
        <f t="shared" si="8"/>
        <v>634</v>
      </c>
      <c r="AF61" s="321">
        <f t="shared" si="9"/>
        <v>643</v>
      </c>
      <c r="AG61" s="321">
        <f t="shared" si="10"/>
        <v>638</v>
      </c>
      <c r="AH61" s="321" t="e">
        <f t="shared" si="28"/>
        <v>#REF!</v>
      </c>
      <c r="AI61" s="321" t="e">
        <f t="shared" si="28"/>
        <v>#REF!</v>
      </c>
      <c r="AJ61" s="321" t="e">
        <f t="shared" si="28"/>
        <v>#REF!</v>
      </c>
      <c r="AK61" s="322" t="e">
        <f t="shared" si="28"/>
        <v>#REF!</v>
      </c>
      <c r="AL61" s="323" t="e">
        <f t="shared" si="28"/>
        <v>#REF!</v>
      </c>
      <c r="AM61" s="324" t="s">
        <v>455</v>
      </c>
      <c r="AO61" s="306">
        <f t="shared" si="11"/>
        <v>51</v>
      </c>
      <c r="AP61" s="306">
        <f t="shared" si="12"/>
        <v>53</v>
      </c>
      <c r="AQ61" s="306">
        <f t="shared" si="13"/>
        <v>2</v>
      </c>
      <c r="AR61" s="306">
        <f t="shared" si="14"/>
        <v>28</v>
      </c>
      <c r="AS61" s="289"/>
      <c r="AT61" s="325">
        <f t="shared" si="15"/>
        <v>2</v>
      </c>
      <c r="AU61" s="263">
        <f t="shared" si="15"/>
        <v>26</v>
      </c>
      <c r="AV61" s="263">
        <f t="shared" si="15"/>
        <v>16</v>
      </c>
      <c r="AW61" s="263">
        <f t="shared" si="15"/>
        <v>9</v>
      </c>
      <c r="AX61" s="308">
        <f t="shared" si="15"/>
        <v>-5</v>
      </c>
    </row>
    <row r="62" spans="1:50" ht="15.5" x14ac:dyDescent="0.35">
      <c r="A62" s="262"/>
      <c r="B62" s="290">
        <v>2051</v>
      </c>
      <c r="C62" s="291">
        <v>31</v>
      </c>
      <c r="D62" s="292" t="s">
        <v>406</v>
      </c>
      <c r="E62" s="262">
        <v>1</v>
      </c>
      <c r="F62" s="313" t="s">
        <v>456</v>
      </c>
      <c r="G62" s="314">
        <v>476</v>
      </c>
      <c r="H62" s="643">
        <v>423</v>
      </c>
      <c r="I62" s="315">
        <v>497</v>
      </c>
      <c r="J62" s="315">
        <v>484</v>
      </c>
      <c r="K62" s="315">
        <v>452</v>
      </c>
      <c r="L62" s="315">
        <v>445</v>
      </c>
      <c r="M62" s="315" t="e">
        <v>#REF!</v>
      </c>
      <c r="N62" s="315" t="e">
        <v>#REF!</v>
      </c>
      <c r="O62" s="315" t="e">
        <v>#REF!</v>
      </c>
      <c r="P62" s="315" t="e">
        <v>#REF!</v>
      </c>
      <c r="Q62" s="316" t="e">
        <v>#REF!</v>
      </c>
      <c r="R62" s="551">
        <f t="shared" si="21"/>
        <v>423</v>
      </c>
      <c r="S62" s="317"/>
      <c r="T62" s="317"/>
      <c r="U62" s="317"/>
      <c r="V62" s="317"/>
      <c r="W62" s="318"/>
      <c r="X62" s="318"/>
      <c r="Y62" s="318"/>
      <c r="Z62" s="318"/>
      <c r="AA62" s="319"/>
      <c r="AB62" s="320">
        <f t="shared" si="5"/>
        <v>476</v>
      </c>
      <c r="AC62" s="301">
        <f t="shared" si="6"/>
        <v>423</v>
      </c>
      <c r="AD62" s="321">
        <f t="shared" si="7"/>
        <v>497</v>
      </c>
      <c r="AE62" s="321">
        <f t="shared" si="8"/>
        <v>484</v>
      </c>
      <c r="AF62" s="321">
        <f t="shared" si="9"/>
        <v>452</v>
      </c>
      <c r="AG62" s="321">
        <f t="shared" si="10"/>
        <v>445</v>
      </c>
      <c r="AH62" s="321" t="e">
        <f t="shared" si="28"/>
        <v>#REF!</v>
      </c>
      <c r="AI62" s="321" t="e">
        <f t="shared" si="28"/>
        <v>#REF!</v>
      </c>
      <c r="AJ62" s="321" t="e">
        <f t="shared" si="28"/>
        <v>#REF!</v>
      </c>
      <c r="AK62" s="322" t="e">
        <f t="shared" si="28"/>
        <v>#REF!</v>
      </c>
      <c r="AL62" s="323" t="e">
        <f t="shared" si="28"/>
        <v>#REF!</v>
      </c>
      <c r="AM62" s="324" t="s">
        <v>456</v>
      </c>
      <c r="AO62" s="306">
        <f t="shared" si="11"/>
        <v>0</v>
      </c>
      <c r="AP62" s="306">
        <f t="shared" si="12"/>
        <v>-53</v>
      </c>
      <c r="AQ62" s="306">
        <f t="shared" si="13"/>
        <v>-53</v>
      </c>
      <c r="AR62" s="306">
        <f t="shared" si="14"/>
        <v>-53</v>
      </c>
      <c r="AS62" s="289"/>
      <c r="AT62" s="325">
        <f t="shared" si="15"/>
        <v>-53</v>
      </c>
      <c r="AU62" s="263">
        <f t="shared" si="15"/>
        <v>74</v>
      </c>
      <c r="AV62" s="263">
        <f t="shared" si="15"/>
        <v>-13</v>
      </c>
      <c r="AW62" s="263">
        <f t="shared" si="15"/>
        <v>-32</v>
      </c>
      <c r="AX62" s="308">
        <f t="shared" si="15"/>
        <v>-7</v>
      </c>
    </row>
    <row r="63" spans="1:50" ht="15.5" x14ac:dyDescent="0.35">
      <c r="A63" s="262"/>
      <c r="B63" s="290">
        <v>3161</v>
      </c>
      <c r="C63" s="291">
        <v>127</v>
      </c>
      <c r="D63" s="292" t="s">
        <v>404</v>
      </c>
      <c r="E63" s="262">
        <v>1</v>
      </c>
      <c r="F63" s="313" t="s">
        <v>498</v>
      </c>
      <c r="G63" s="314">
        <v>950</v>
      </c>
      <c r="H63" s="658">
        <v>994</v>
      </c>
      <c r="I63" s="659">
        <v>1038</v>
      </c>
      <c r="J63" s="659">
        <v>1082</v>
      </c>
      <c r="K63" s="659">
        <v>1126</v>
      </c>
      <c r="L63" s="659">
        <v>1170</v>
      </c>
      <c r="M63" s="454" t="e">
        <v>#REF!</v>
      </c>
      <c r="N63" s="454" t="e">
        <v>#REF!</v>
      </c>
      <c r="O63" s="454" t="e">
        <v>#REF!</v>
      </c>
      <c r="P63" s="454" t="e">
        <v>#REF!</v>
      </c>
      <c r="Q63" s="455" t="e">
        <v>#REF!</v>
      </c>
      <c r="R63" s="558">
        <f t="shared" si="21"/>
        <v>994</v>
      </c>
      <c r="S63" s="457"/>
      <c r="T63" s="457"/>
      <c r="U63" s="457"/>
      <c r="V63" s="457"/>
      <c r="W63" s="458"/>
      <c r="X63" s="458"/>
      <c r="Y63" s="458"/>
      <c r="Z63" s="458"/>
      <c r="AA63" s="459"/>
      <c r="AB63" s="460">
        <f t="shared" si="5"/>
        <v>950</v>
      </c>
      <c r="AC63" s="456">
        <f t="shared" si="6"/>
        <v>994</v>
      </c>
      <c r="AD63" s="461">
        <f t="shared" si="7"/>
        <v>1038</v>
      </c>
      <c r="AE63" s="461">
        <f t="shared" si="8"/>
        <v>1082</v>
      </c>
      <c r="AF63" s="461">
        <f t="shared" si="9"/>
        <v>1126</v>
      </c>
      <c r="AG63" s="461">
        <f t="shared" si="10"/>
        <v>1170</v>
      </c>
      <c r="AH63" s="321" t="e">
        <f t="shared" si="28"/>
        <v>#REF!</v>
      </c>
      <c r="AI63" s="321" t="e">
        <f t="shared" si="28"/>
        <v>#REF!</v>
      </c>
      <c r="AJ63" s="321" t="e">
        <f t="shared" si="28"/>
        <v>#REF!</v>
      </c>
      <c r="AK63" s="322" t="e">
        <f t="shared" si="28"/>
        <v>#REF!</v>
      </c>
      <c r="AL63" s="323" t="e">
        <f t="shared" si="28"/>
        <v>#REF!</v>
      </c>
      <c r="AM63" s="324" t="s">
        <v>405</v>
      </c>
      <c r="AO63" s="306">
        <f>H63-R63</f>
        <v>0</v>
      </c>
      <c r="AP63" s="462">
        <f>H63-AB63</f>
        <v>44</v>
      </c>
      <c r="AQ63" s="462">
        <f>AC63-AB63</f>
        <v>44</v>
      </c>
      <c r="AR63" s="462">
        <f>ROUND(((H63+AC63)/2)-AB63, 0)</f>
        <v>44</v>
      </c>
      <c r="AS63" s="463"/>
      <c r="AT63" s="464">
        <f>AC63-AB63</f>
        <v>44</v>
      </c>
      <c r="AU63" s="465">
        <f t="shared" si="15"/>
        <v>44</v>
      </c>
      <c r="AV63" s="465">
        <f t="shared" si="15"/>
        <v>44</v>
      </c>
      <c r="AW63" s="465">
        <f t="shared" si="15"/>
        <v>44</v>
      </c>
      <c r="AX63" s="466">
        <f t="shared" si="15"/>
        <v>44</v>
      </c>
    </row>
    <row r="64" spans="1:50" ht="15.5" x14ac:dyDescent="0.35">
      <c r="A64" s="262"/>
      <c r="B64" s="309">
        <v>2042</v>
      </c>
      <c r="C64" s="310">
        <v>30</v>
      </c>
      <c r="D64" s="311" t="s">
        <v>406</v>
      </c>
      <c r="E64" s="312">
        <v>1</v>
      </c>
      <c r="F64" s="334" t="s">
        <v>457</v>
      </c>
      <c r="G64" s="314">
        <v>604</v>
      </c>
      <c r="H64" s="643">
        <v>604</v>
      </c>
      <c r="I64" s="315">
        <v>604</v>
      </c>
      <c r="J64" s="315">
        <v>604</v>
      </c>
      <c r="K64" s="315">
        <v>604</v>
      </c>
      <c r="L64" s="315">
        <v>604</v>
      </c>
      <c r="M64" s="315" t="e">
        <v>#REF!</v>
      </c>
      <c r="N64" s="315" t="e">
        <v>#REF!</v>
      </c>
      <c r="O64" s="315" t="e">
        <v>#REF!</v>
      </c>
      <c r="P64" s="315" t="e">
        <v>#REF!</v>
      </c>
      <c r="Q64" s="316" t="e">
        <v>#REF!</v>
      </c>
      <c r="R64" s="556">
        <f t="shared" si="21"/>
        <v>605</v>
      </c>
      <c r="S64" s="317"/>
      <c r="T64" s="317"/>
      <c r="U64" s="317"/>
      <c r="V64" s="317"/>
      <c r="W64" s="318"/>
      <c r="X64" s="318"/>
      <c r="Y64" s="318"/>
      <c r="Z64" s="318"/>
      <c r="AA64" s="319"/>
      <c r="AB64" s="320">
        <f t="shared" si="5"/>
        <v>604</v>
      </c>
      <c r="AC64" s="301">
        <f t="shared" si="6"/>
        <v>605</v>
      </c>
      <c r="AD64" s="321">
        <f t="shared" si="7"/>
        <v>605</v>
      </c>
      <c r="AE64" s="321">
        <f t="shared" si="8"/>
        <v>605</v>
      </c>
      <c r="AF64" s="321">
        <f t="shared" si="9"/>
        <v>605</v>
      </c>
      <c r="AG64" s="321">
        <f t="shared" si="10"/>
        <v>605</v>
      </c>
      <c r="AH64" s="321" t="e">
        <f t="shared" si="28"/>
        <v>#REF!</v>
      </c>
      <c r="AI64" s="321" t="e">
        <f t="shared" si="28"/>
        <v>#REF!</v>
      </c>
      <c r="AJ64" s="321" t="e">
        <f t="shared" si="28"/>
        <v>#REF!</v>
      </c>
      <c r="AK64" s="322" t="e">
        <f t="shared" si="28"/>
        <v>#REF!</v>
      </c>
      <c r="AL64" s="323" t="e">
        <f t="shared" si="28"/>
        <v>#REF!</v>
      </c>
      <c r="AM64" s="335" t="s">
        <v>457</v>
      </c>
      <c r="AO64" s="306">
        <f t="shared" si="11"/>
        <v>-1</v>
      </c>
      <c r="AP64" s="306">
        <f t="shared" si="12"/>
        <v>0</v>
      </c>
      <c r="AQ64" s="306">
        <f t="shared" si="13"/>
        <v>1</v>
      </c>
      <c r="AR64" s="306">
        <f t="shared" si="14"/>
        <v>1</v>
      </c>
      <c r="AS64" s="289"/>
      <c r="AT64" s="325">
        <f t="shared" si="15"/>
        <v>1</v>
      </c>
      <c r="AU64" s="263">
        <f t="shared" si="15"/>
        <v>0</v>
      </c>
      <c r="AV64" s="263">
        <f t="shared" si="15"/>
        <v>0</v>
      </c>
      <c r="AW64" s="263">
        <f t="shared" si="15"/>
        <v>0</v>
      </c>
      <c r="AX64" s="308">
        <f t="shared" si="15"/>
        <v>0</v>
      </c>
    </row>
    <row r="65" spans="1:50" ht="15.5" x14ac:dyDescent="0.35">
      <c r="A65" s="262"/>
      <c r="B65" s="326">
        <v>2212</v>
      </c>
      <c r="C65" s="327">
        <v>109</v>
      </c>
      <c r="D65" s="328" t="s">
        <v>406</v>
      </c>
      <c r="E65" s="329">
        <v>1</v>
      </c>
      <c r="F65" s="313" t="s">
        <v>458</v>
      </c>
      <c r="G65" s="314">
        <v>946</v>
      </c>
      <c r="H65" s="301">
        <v>1018</v>
      </c>
      <c r="I65" s="318">
        <v>1091</v>
      </c>
      <c r="J65" s="318">
        <v>1150</v>
      </c>
      <c r="K65" s="656">
        <v>1210</v>
      </c>
      <c r="L65" s="656">
        <v>1254</v>
      </c>
      <c r="M65" s="315" t="e">
        <v>#REF!</v>
      </c>
      <c r="N65" s="315" t="e">
        <v>#REF!</v>
      </c>
      <c r="O65" s="315" t="e">
        <v>#REF!</v>
      </c>
      <c r="P65" s="315" t="e">
        <v>#REF!</v>
      </c>
      <c r="Q65" s="316" t="e">
        <v>#REF!</v>
      </c>
      <c r="R65" s="556">
        <f t="shared" si="21"/>
        <v>977</v>
      </c>
      <c r="S65" s="554"/>
      <c r="T65" s="317"/>
      <c r="U65" s="317"/>
      <c r="V65" s="317"/>
      <c r="W65" s="318"/>
      <c r="X65" s="318"/>
      <c r="Y65" s="318"/>
      <c r="Z65" s="318"/>
      <c r="AA65" s="319"/>
      <c r="AB65" s="320">
        <f t="shared" si="5"/>
        <v>946</v>
      </c>
      <c r="AC65" s="301">
        <f t="shared" si="6"/>
        <v>977</v>
      </c>
      <c r="AD65" s="321">
        <f t="shared" si="7"/>
        <v>1050</v>
      </c>
      <c r="AE65" s="321">
        <f t="shared" si="8"/>
        <v>1109</v>
      </c>
      <c r="AF65" s="321">
        <f t="shared" si="9"/>
        <v>1169</v>
      </c>
      <c r="AG65" s="321">
        <f t="shared" si="10"/>
        <v>1213</v>
      </c>
      <c r="AH65" s="321" t="e">
        <f t="shared" si="28"/>
        <v>#REF!</v>
      </c>
      <c r="AI65" s="321" t="e">
        <f t="shared" si="28"/>
        <v>#REF!</v>
      </c>
      <c r="AJ65" s="321" t="e">
        <f t="shared" si="28"/>
        <v>#REF!</v>
      </c>
      <c r="AK65" s="322" t="e">
        <f t="shared" si="28"/>
        <v>#REF!</v>
      </c>
      <c r="AL65" s="323" t="e">
        <f t="shared" si="28"/>
        <v>#REF!</v>
      </c>
      <c r="AM65" s="324" t="s">
        <v>458</v>
      </c>
      <c r="AO65" s="306">
        <f t="shared" si="11"/>
        <v>41</v>
      </c>
      <c r="AP65" s="306">
        <f t="shared" si="12"/>
        <v>72</v>
      </c>
      <c r="AQ65" s="306">
        <f t="shared" si="13"/>
        <v>31</v>
      </c>
      <c r="AR65" s="306">
        <f t="shared" si="14"/>
        <v>52</v>
      </c>
      <c r="AS65" s="289"/>
      <c r="AT65" s="325">
        <f t="shared" si="15"/>
        <v>31</v>
      </c>
      <c r="AU65" s="263">
        <f t="shared" si="15"/>
        <v>73</v>
      </c>
      <c r="AV65" s="263">
        <f t="shared" si="15"/>
        <v>59</v>
      </c>
      <c r="AW65" s="263">
        <f t="shared" si="15"/>
        <v>60</v>
      </c>
      <c r="AX65" s="308">
        <f t="shared" si="15"/>
        <v>44</v>
      </c>
    </row>
    <row r="66" spans="1:50" ht="16" thickBot="1" x14ac:dyDescent="0.4">
      <c r="A66" s="262"/>
      <c r="B66" s="290">
        <v>1151</v>
      </c>
      <c r="C66" s="291">
        <v>111</v>
      </c>
      <c r="D66" s="292" t="s">
        <v>404</v>
      </c>
      <c r="E66" s="262">
        <v>1</v>
      </c>
      <c r="F66" s="347" t="s">
        <v>459</v>
      </c>
      <c r="G66" s="348">
        <v>406</v>
      </c>
      <c r="H66" s="644">
        <v>403</v>
      </c>
      <c r="I66" s="349">
        <v>400</v>
      </c>
      <c r="J66" s="349">
        <v>396</v>
      </c>
      <c r="K66" s="349">
        <v>385</v>
      </c>
      <c r="L66" s="349">
        <v>391</v>
      </c>
      <c r="M66" s="349" t="e">
        <v>#REF!</v>
      </c>
      <c r="N66" s="349" t="e">
        <v>#REF!</v>
      </c>
      <c r="O66" s="349" t="e">
        <v>#REF!</v>
      </c>
      <c r="P66" s="349" t="e">
        <v>#REF!</v>
      </c>
      <c r="Q66" s="350" t="e">
        <v>#REF!</v>
      </c>
      <c r="R66" s="645">
        <f t="shared" si="21"/>
        <v>402</v>
      </c>
      <c r="S66" s="352"/>
      <c r="T66" s="352"/>
      <c r="U66" s="352"/>
      <c r="V66" s="352"/>
      <c r="W66" s="353"/>
      <c r="X66" s="353"/>
      <c r="Y66" s="353"/>
      <c r="Z66" s="353"/>
      <c r="AA66" s="354"/>
      <c r="AB66" s="355">
        <f t="shared" si="5"/>
        <v>406</v>
      </c>
      <c r="AC66" s="351">
        <f t="shared" si="6"/>
        <v>402</v>
      </c>
      <c r="AD66" s="356">
        <f t="shared" si="7"/>
        <v>399</v>
      </c>
      <c r="AE66" s="356">
        <f t="shared" si="8"/>
        <v>395</v>
      </c>
      <c r="AF66" s="356">
        <f t="shared" si="9"/>
        <v>384</v>
      </c>
      <c r="AG66" s="356">
        <f t="shared" si="10"/>
        <v>390</v>
      </c>
      <c r="AH66" s="356" t="e">
        <f t="shared" si="28"/>
        <v>#REF!</v>
      </c>
      <c r="AI66" s="356" t="e">
        <f t="shared" si="28"/>
        <v>#REF!</v>
      </c>
      <c r="AJ66" s="356" t="e">
        <f t="shared" si="28"/>
        <v>#REF!</v>
      </c>
      <c r="AK66" s="357" t="e">
        <f t="shared" si="28"/>
        <v>#REF!</v>
      </c>
      <c r="AL66" s="358" t="e">
        <f t="shared" si="28"/>
        <v>#REF!</v>
      </c>
      <c r="AM66" s="359" t="s">
        <v>459</v>
      </c>
      <c r="AO66" s="360">
        <f t="shared" si="11"/>
        <v>1</v>
      </c>
      <c r="AP66" s="360">
        <f t="shared" si="12"/>
        <v>-3</v>
      </c>
      <c r="AQ66" s="360">
        <f t="shared" si="13"/>
        <v>-4</v>
      </c>
      <c r="AR66" s="360">
        <f t="shared" si="14"/>
        <v>-4</v>
      </c>
      <c r="AS66" s="289"/>
      <c r="AT66" s="361">
        <f t="shared" si="15"/>
        <v>-4</v>
      </c>
      <c r="AU66" s="362">
        <f t="shared" si="15"/>
        <v>-3</v>
      </c>
      <c r="AV66" s="362">
        <f t="shared" si="15"/>
        <v>-4</v>
      </c>
      <c r="AW66" s="362">
        <f t="shared" si="15"/>
        <v>-11</v>
      </c>
      <c r="AX66" s="363">
        <f t="shared" si="15"/>
        <v>6</v>
      </c>
    </row>
    <row r="67" spans="1:50" ht="15.5" x14ac:dyDescent="0.35">
      <c r="A67" s="262"/>
      <c r="B67" s="309">
        <v>3021</v>
      </c>
      <c r="C67" s="310">
        <v>110</v>
      </c>
      <c r="D67" s="311" t="s">
        <v>406</v>
      </c>
      <c r="E67" s="312">
        <v>2</v>
      </c>
      <c r="F67" s="364" t="s">
        <v>460</v>
      </c>
      <c r="G67" s="294">
        <v>1035</v>
      </c>
      <c r="H67" s="301">
        <v>991</v>
      </c>
      <c r="I67" s="318">
        <v>970</v>
      </c>
      <c r="J67" s="318">
        <v>1001</v>
      </c>
      <c r="K67" s="656">
        <v>1045</v>
      </c>
      <c r="L67" s="656">
        <v>1089</v>
      </c>
      <c r="M67" s="295" t="e">
        <v>#REF!</v>
      </c>
      <c r="N67" s="295" t="e">
        <v>#REF!</v>
      </c>
      <c r="O67" s="295" t="e">
        <v>#REF!</v>
      </c>
      <c r="P67" s="295" t="e">
        <v>#REF!</v>
      </c>
      <c r="Q67" s="296" t="e">
        <v>#REF!</v>
      </c>
      <c r="R67" s="557">
        <f t="shared" si="21"/>
        <v>991</v>
      </c>
      <c r="S67" s="298"/>
      <c r="T67" s="298"/>
      <c r="U67" s="298"/>
      <c r="V67" s="298"/>
      <c r="W67" s="299"/>
      <c r="X67" s="299"/>
      <c r="Y67" s="299"/>
      <c r="Z67" s="299"/>
      <c r="AA67" s="300"/>
      <c r="AB67" s="343">
        <f t="shared" si="5"/>
        <v>1035</v>
      </c>
      <c r="AC67" s="297">
        <f t="shared" si="6"/>
        <v>991</v>
      </c>
      <c r="AD67" s="302">
        <f t="shared" ref="AD67" si="29">(I67-H67)+AC67</f>
        <v>970</v>
      </c>
      <c r="AE67" s="302">
        <f t="shared" ref="AE67" si="30">(J67-I67)+AD67</f>
        <v>1001</v>
      </c>
      <c r="AF67" s="302">
        <f t="shared" ref="AF67" si="31">(K67-J67)+AE67</f>
        <v>1045</v>
      </c>
      <c r="AG67" s="302">
        <f t="shared" ref="AG67" si="32">(L67-K67)+AF67</f>
        <v>1089</v>
      </c>
      <c r="AH67" s="302" t="e">
        <f>(M67-L78)+AG67</f>
        <v>#REF!</v>
      </c>
      <c r="AI67" s="302" t="e">
        <f t="shared" si="28"/>
        <v>#REF!</v>
      </c>
      <c r="AJ67" s="302" t="e">
        <f t="shared" si="28"/>
        <v>#REF!</v>
      </c>
      <c r="AK67" s="303" t="e">
        <f t="shared" si="28"/>
        <v>#REF!</v>
      </c>
      <c r="AL67" s="304" t="e">
        <f t="shared" si="28"/>
        <v>#REF!</v>
      </c>
      <c r="AM67" s="365" t="s">
        <v>460</v>
      </c>
      <c r="AO67" s="288">
        <f t="shared" si="11"/>
        <v>0</v>
      </c>
      <c r="AP67" s="288">
        <f>H67-AB67</f>
        <v>-44</v>
      </c>
      <c r="AQ67" s="288">
        <f t="shared" ref="AQ67" si="33">AC67-AB67</f>
        <v>-44</v>
      </c>
      <c r="AR67" s="288">
        <f t="shared" ref="AR67" si="34">ROUND(((H67+AC67)/2)-AB67, 0)</f>
        <v>-44</v>
      </c>
      <c r="AS67" s="289"/>
      <c r="AT67" s="325">
        <f t="shared" si="15"/>
        <v>-44</v>
      </c>
      <c r="AU67" s="263">
        <f t="shared" si="15"/>
        <v>-21</v>
      </c>
      <c r="AV67" s="263">
        <f t="shared" si="15"/>
        <v>31</v>
      </c>
      <c r="AW67" s="263">
        <f t="shared" si="15"/>
        <v>44</v>
      </c>
      <c r="AX67" s="308">
        <f t="shared" si="15"/>
        <v>44</v>
      </c>
    </row>
    <row r="68" spans="1:50" ht="15.5" x14ac:dyDescent="0.35">
      <c r="A68" s="262"/>
      <c r="B68" s="290">
        <v>6012</v>
      </c>
      <c r="C68" s="291">
        <v>67</v>
      </c>
      <c r="D68" s="292" t="s">
        <v>404</v>
      </c>
      <c r="E68" s="262">
        <v>2</v>
      </c>
      <c r="F68" s="366" t="s">
        <v>461</v>
      </c>
      <c r="G68" s="332">
        <v>488</v>
      </c>
      <c r="H68" s="643">
        <v>466</v>
      </c>
      <c r="I68" s="315">
        <v>467</v>
      </c>
      <c r="J68" s="315">
        <v>445</v>
      </c>
      <c r="K68" s="315">
        <v>425</v>
      </c>
      <c r="L68" s="315">
        <v>423</v>
      </c>
      <c r="M68" s="315">
        <v>421</v>
      </c>
      <c r="N68" s="315" t="e">
        <v>#REF!</v>
      </c>
      <c r="O68" s="315" t="e">
        <v>#REF!</v>
      </c>
      <c r="P68" s="315" t="e">
        <v>#REF!</v>
      </c>
      <c r="Q68" s="316" t="e">
        <v>#REF!</v>
      </c>
      <c r="R68" s="551">
        <f t="shared" si="21"/>
        <v>466</v>
      </c>
      <c r="S68" s="317"/>
      <c r="T68" s="317"/>
      <c r="U68" s="317"/>
      <c r="V68" s="317"/>
      <c r="W68" s="318"/>
      <c r="X68" s="318"/>
      <c r="Y68" s="318"/>
      <c r="Z68" s="318"/>
      <c r="AA68" s="319"/>
      <c r="AB68" s="320">
        <f t="shared" si="5"/>
        <v>488</v>
      </c>
      <c r="AC68" s="301">
        <f t="shared" si="6"/>
        <v>466</v>
      </c>
      <c r="AD68" s="321">
        <f t="shared" si="7"/>
        <v>467</v>
      </c>
      <c r="AE68" s="321">
        <f t="shared" si="8"/>
        <v>445</v>
      </c>
      <c r="AF68" s="321">
        <f t="shared" si="9"/>
        <v>425</v>
      </c>
      <c r="AG68" s="321">
        <f t="shared" si="10"/>
        <v>423</v>
      </c>
      <c r="AH68" s="321">
        <f t="shared" si="28"/>
        <v>421</v>
      </c>
      <c r="AI68" s="321" t="e">
        <f t="shared" si="28"/>
        <v>#REF!</v>
      </c>
      <c r="AJ68" s="321" t="e">
        <f t="shared" si="28"/>
        <v>#REF!</v>
      </c>
      <c r="AK68" s="322" t="e">
        <f t="shared" si="28"/>
        <v>#REF!</v>
      </c>
      <c r="AL68" s="323" t="e">
        <f t="shared" si="28"/>
        <v>#REF!</v>
      </c>
      <c r="AM68" s="367" t="s">
        <v>461</v>
      </c>
      <c r="AO68" s="306">
        <f t="shared" si="11"/>
        <v>0</v>
      </c>
      <c r="AP68" s="306">
        <f t="shared" si="12"/>
        <v>-22</v>
      </c>
      <c r="AQ68" s="306">
        <f t="shared" si="13"/>
        <v>-22</v>
      </c>
      <c r="AR68" s="306">
        <f t="shared" si="14"/>
        <v>-22</v>
      </c>
      <c r="AS68" s="289"/>
      <c r="AT68" s="325">
        <f t="shared" si="15"/>
        <v>-22</v>
      </c>
      <c r="AU68" s="263">
        <f t="shared" si="15"/>
        <v>1</v>
      </c>
      <c r="AV68" s="263">
        <f t="shared" si="15"/>
        <v>-22</v>
      </c>
      <c r="AW68" s="263">
        <f t="shared" si="15"/>
        <v>-20</v>
      </c>
      <c r="AX68" s="308">
        <f t="shared" si="15"/>
        <v>-2</v>
      </c>
    </row>
    <row r="69" spans="1:50" ht="15.5" x14ac:dyDescent="0.35">
      <c r="A69" s="262"/>
      <c r="B69" s="309">
        <v>6082</v>
      </c>
      <c r="C69" s="310">
        <v>73</v>
      </c>
      <c r="D69" s="311" t="s">
        <v>406</v>
      </c>
      <c r="E69" s="312">
        <v>2</v>
      </c>
      <c r="F69" s="368" t="s">
        <v>462</v>
      </c>
      <c r="G69" s="314">
        <v>461</v>
      </c>
      <c r="H69" s="643">
        <v>444</v>
      </c>
      <c r="I69" s="315">
        <v>453</v>
      </c>
      <c r="J69" s="315">
        <v>443</v>
      </c>
      <c r="K69" s="315">
        <v>426</v>
      </c>
      <c r="L69" s="315">
        <v>431</v>
      </c>
      <c r="M69" s="315">
        <v>525</v>
      </c>
      <c r="N69" s="315" t="e">
        <v>#REF!</v>
      </c>
      <c r="O69" s="315" t="e">
        <v>#REF!</v>
      </c>
      <c r="P69" s="315" t="e">
        <v>#REF!</v>
      </c>
      <c r="Q69" s="316" t="e">
        <v>#REF!</v>
      </c>
      <c r="R69" s="551">
        <f t="shared" si="21"/>
        <v>445</v>
      </c>
      <c r="S69" s="317"/>
      <c r="T69" s="317"/>
      <c r="U69" s="317"/>
      <c r="V69" s="317"/>
      <c r="W69" s="318"/>
      <c r="X69" s="318"/>
      <c r="Y69" s="318"/>
      <c r="Z69" s="318"/>
      <c r="AA69" s="319"/>
      <c r="AB69" s="320">
        <f t="shared" si="5"/>
        <v>461</v>
      </c>
      <c r="AC69" s="301">
        <f t="shared" si="6"/>
        <v>445</v>
      </c>
      <c r="AD69" s="321">
        <f t="shared" si="7"/>
        <v>454</v>
      </c>
      <c r="AE69" s="321">
        <f t="shared" si="8"/>
        <v>444</v>
      </c>
      <c r="AF69" s="321">
        <f t="shared" si="9"/>
        <v>427</v>
      </c>
      <c r="AG69" s="321">
        <f t="shared" si="10"/>
        <v>432</v>
      </c>
      <c r="AH69" s="321">
        <f t="shared" si="28"/>
        <v>526</v>
      </c>
      <c r="AI69" s="321" t="e">
        <f t="shared" si="28"/>
        <v>#REF!</v>
      </c>
      <c r="AJ69" s="321" t="e">
        <f t="shared" si="28"/>
        <v>#REF!</v>
      </c>
      <c r="AK69" s="322" t="e">
        <f t="shared" si="28"/>
        <v>#REF!</v>
      </c>
      <c r="AL69" s="323" t="e">
        <f t="shared" si="28"/>
        <v>#REF!</v>
      </c>
      <c r="AM69" s="369" t="s">
        <v>462</v>
      </c>
      <c r="AO69" s="306">
        <f t="shared" si="11"/>
        <v>-1</v>
      </c>
      <c r="AP69" s="306">
        <f t="shared" si="12"/>
        <v>-17</v>
      </c>
      <c r="AQ69" s="306">
        <f t="shared" si="13"/>
        <v>-16</v>
      </c>
      <c r="AR69" s="306">
        <f t="shared" si="14"/>
        <v>-17</v>
      </c>
      <c r="AS69" s="289"/>
      <c r="AT69" s="325">
        <f t="shared" si="15"/>
        <v>-16</v>
      </c>
      <c r="AU69" s="263">
        <f t="shared" si="15"/>
        <v>9</v>
      </c>
      <c r="AV69" s="263">
        <f t="shared" si="15"/>
        <v>-10</v>
      </c>
      <c r="AW69" s="263">
        <f t="shared" si="15"/>
        <v>-17</v>
      </c>
      <c r="AX69" s="308">
        <f t="shared" si="15"/>
        <v>5</v>
      </c>
    </row>
    <row r="70" spans="1:50" ht="15.5" x14ac:dyDescent="0.35">
      <c r="A70" s="262"/>
      <c r="B70" s="326">
        <v>141</v>
      </c>
      <c r="C70" s="327">
        <v>10</v>
      </c>
      <c r="D70" s="328" t="s">
        <v>408</v>
      </c>
      <c r="E70" s="329">
        <v>2</v>
      </c>
      <c r="F70" s="368" t="s">
        <v>463</v>
      </c>
      <c r="G70" s="314">
        <v>468</v>
      </c>
      <c r="H70" s="643">
        <v>443</v>
      </c>
      <c r="I70" s="315">
        <v>460</v>
      </c>
      <c r="J70" s="315">
        <v>457</v>
      </c>
      <c r="K70" s="315">
        <v>417</v>
      </c>
      <c r="L70" s="315">
        <v>394</v>
      </c>
      <c r="M70" s="315">
        <v>390</v>
      </c>
      <c r="N70" s="315" t="e">
        <v>#REF!</v>
      </c>
      <c r="O70" s="315" t="e">
        <v>#REF!</v>
      </c>
      <c r="P70" s="315" t="e">
        <v>#REF!</v>
      </c>
      <c r="Q70" s="316" t="e">
        <v>#REF!</v>
      </c>
      <c r="R70" s="551">
        <f t="shared" si="21"/>
        <v>443</v>
      </c>
      <c r="S70" s="317"/>
      <c r="T70" s="317"/>
      <c r="U70" s="317"/>
      <c r="V70" s="317"/>
      <c r="W70" s="318"/>
      <c r="X70" s="318"/>
      <c r="Y70" s="318"/>
      <c r="Z70" s="318"/>
      <c r="AA70" s="319"/>
      <c r="AB70" s="320">
        <f t="shared" si="5"/>
        <v>468</v>
      </c>
      <c r="AC70" s="301">
        <f t="shared" si="6"/>
        <v>443</v>
      </c>
      <c r="AD70" s="321">
        <f t="shared" si="7"/>
        <v>460</v>
      </c>
      <c r="AE70" s="321">
        <f t="shared" si="8"/>
        <v>457</v>
      </c>
      <c r="AF70" s="321">
        <f t="shared" si="9"/>
        <v>417</v>
      </c>
      <c r="AG70" s="321">
        <f t="shared" si="10"/>
        <v>394</v>
      </c>
      <c r="AH70" s="321">
        <f t="shared" si="28"/>
        <v>390</v>
      </c>
      <c r="AI70" s="321" t="e">
        <f t="shared" si="28"/>
        <v>#REF!</v>
      </c>
      <c r="AJ70" s="321" t="e">
        <f t="shared" si="28"/>
        <v>#REF!</v>
      </c>
      <c r="AK70" s="322" t="e">
        <f t="shared" si="28"/>
        <v>#REF!</v>
      </c>
      <c r="AL70" s="323" t="e">
        <f t="shared" si="28"/>
        <v>#REF!</v>
      </c>
      <c r="AM70" s="369" t="s">
        <v>463</v>
      </c>
      <c r="AO70" s="306">
        <f t="shared" si="11"/>
        <v>0</v>
      </c>
      <c r="AP70" s="306">
        <f t="shared" si="12"/>
        <v>-25</v>
      </c>
      <c r="AQ70" s="306">
        <f t="shared" si="13"/>
        <v>-25</v>
      </c>
      <c r="AR70" s="306">
        <f t="shared" si="14"/>
        <v>-25</v>
      </c>
      <c r="AS70" s="289"/>
      <c r="AT70" s="325">
        <f t="shared" si="15"/>
        <v>-25</v>
      </c>
      <c r="AU70" s="263">
        <f t="shared" si="15"/>
        <v>17</v>
      </c>
      <c r="AV70" s="263">
        <f t="shared" si="15"/>
        <v>-3</v>
      </c>
      <c r="AW70" s="263">
        <f t="shared" si="15"/>
        <v>-40</v>
      </c>
      <c r="AX70" s="308">
        <f t="shared" si="15"/>
        <v>-23</v>
      </c>
    </row>
    <row r="71" spans="1:50" ht="15.5" x14ac:dyDescent="0.35">
      <c r="A71" s="262"/>
      <c r="B71" s="290">
        <v>4111</v>
      </c>
      <c r="C71" s="291">
        <v>60</v>
      </c>
      <c r="D71" s="292" t="s">
        <v>408</v>
      </c>
      <c r="E71" s="262">
        <v>2</v>
      </c>
      <c r="F71" s="368" t="s">
        <v>464</v>
      </c>
      <c r="G71" s="314">
        <v>443</v>
      </c>
      <c r="H71" s="643">
        <v>387</v>
      </c>
      <c r="I71" s="315">
        <v>351</v>
      </c>
      <c r="J71" s="315">
        <v>391</v>
      </c>
      <c r="K71" s="315">
        <v>374</v>
      </c>
      <c r="L71" s="315">
        <v>330</v>
      </c>
      <c r="M71" s="315">
        <v>477</v>
      </c>
      <c r="N71" s="315" t="e">
        <v>#REF!</v>
      </c>
      <c r="O71" s="315" t="e">
        <v>#REF!</v>
      </c>
      <c r="P71" s="315" t="e">
        <v>#REF!</v>
      </c>
      <c r="Q71" s="316" t="e">
        <v>#REF!</v>
      </c>
      <c r="R71" s="551">
        <f t="shared" si="21"/>
        <v>387</v>
      </c>
      <c r="S71" s="317"/>
      <c r="T71" s="317"/>
      <c r="U71" s="317"/>
      <c r="V71" s="317"/>
      <c r="W71" s="318"/>
      <c r="X71" s="318"/>
      <c r="Y71" s="318"/>
      <c r="Z71" s="318"/>
      <c r="AA71" s="319"/>
      <c r="AB71" s="320">
        <f t="shared" si="5"/>
        <v>443</v>
      </c>
      <c r="AC71" s="301">
        <f t="shared" si="6"/>
        <v>387</v>
      </c>
      <c r="AD71" s="321">
        <f t="shared" si="7"/>
        <v>351</v>
      </c>
      <c r="AE71" s="321">
        <f t="shared" si="8"/>
        <v>391</v>
      </c>
      <c r="AF71" s="321">
        <f t="shared" si="9"/>
        <v>374</v>
      </c>
      <c r="AG71" s="321">
        <f t="shared" si="10"/>
        <v>330</v>
      </c>
      <c r="AH71" s="321">
        <f t="shared" si="28"/>
        <v>477</v>
      </c>
      <c r="AI71" s="321" t="e">
        <f t="shared" si="28"/>
        <v>#REF!</v>
      </c>
      <c r="AJ71" s="321" t="e">
        <f t="shared" si="28"/>
        <v>#REF!</v>
      </c>
      <c r="AK71" s="322" t="e">
        <f t="shared" si="28"/>
        <v>#REF!</v>
      </c>
      <c r="AL71" s="323" t="e">
        <f t="shared" si="28"/>
        <v>#REF!</v>
      </c>
      <c r="AM71" s="369" t="s">
        <v>464</v>
      </c>
      <c r="AO71" s="306">
        <f t="shared" si="11"/>
        <v>0</v>
      </c>
      <c r="AP71" s="306">
        <f t="shared" si="12"/>
        <v>-56</v>
      </c>
      <c r="AQ71" s="306">
        <f t="shared" si="13"/>
        <v>-56</v>
      </c>
      <c r="AR71" s="306">
        <f t="shared" si="14"/>
        <v>-56</v>
      </c>
      <c r="AS71" s="289"/>
      <c r="AT71" s="325">
        <f t="shared" si="15"/>
        <v>-56</v>
      </c>
      <c r="AU71" s="263">
        <f t="shared" si="15"/>
        <v>-36</v>
      </c>
      <c r="AV71" s="263">
        <f t="shared" si="15"/>
        <v>40</v>
      </c>
      <c r="AW71" s="263">
        <f t="shared" si="15"/>
        <v>-17</v>
      </c>
      <c r="AX71" s="308">
        <f t="shared" si="15"/>
        <v>-44</v>
      </c>
    </row>
    <row r="72" spans="1:50" ht="15.5" x14ac:dyDescent="0.35">
      <c r="A72" s="262"/>
      <c r="B72" s="309">
        <v>3031</v>
      </c>
      <c r="C72" s="310">
        <v>45</v>
      </c>
      <c r="D72" s="311" t="s">
        <v>404</v>
      </c>
      <c r="E72" s="312">
        <v>2</v>
      </c>
      <c r="F72" s="368" t="s">
        <v>465</v>
      </c>
      <c r="G72" s="314">
        <v>552</v>
      </c>
      <c r="H72" s="643">
        <v>558</v>
      </c>
      <c r="I72" s="315">
        <v>601</v>
      </c>
      <c r="J72" s="315">
        <v>621</v>
      </c>
      <c r="K72" s="315">
        <v>620</v>
      </c>
      <c r="L72" s="315">
        <v>637</v>
      </c>
      <c r="M72" s="315">
        <v>697</v>
      </c>
      <c r="N72" s="315" t="e">
        <v>#REF!</v>
      </c>
      <c r="O72" s="315" t="e">
        <v>#REF!</v>
      </c>
      <c r="P72" s="315" t="e">
        <v>#REF!</v>
      </c>
      <c r="Q72" s="316" t="e">
        <v>#REF!</v>
      </c>
      <c r="R72" s="551">
        <f t="shared" si="21"/>
        <v>529</v>
      </c>
      <c r="S72" s="317"/>
      <c r="T72" s="317"/>
      <c r="U72" s="317"/>
      <c r="V72" s="317"/>
      <c r="W72" s="318"/>
      <c r="X72" s="318"/>
      <c r="Y72" s="318"/>
      <c r="Z72" s="318"/>
      <c r="AA72" s="319"/>
      <c r="AB72" s="320">
        <f t="shared" si="5"/>
        <v>552</v>
      </c>
      <c r="AC72" s="301">
        <f t="shared" si="6"/>
        <v>529</v>
      </c>
      <c r="AD72" s="321">
        <f t="shared" si="7"/>
        <v>572</v>
      </c>
      <c r="AE72" s="321">
        <f t="shared" si="8"/>
        <v>592</v>
      </c>
      <c r="AF72" s="321">
        <f t="shared" si="9"/>
        <v>591</v>
      </c>
      <c r="AG72" s="321">
        <f t="shared" si="10"/>
        <v>608</v>
      </c>
      <c r="AH72" s="321">
        <f t="shared" si="28"/>
        <v>668</v>
      </c>
      <c r="AI72" s="321" t="e">
        <f t="shared" si="28"/>
        <v>#REF!</v>
      </c>
      <c r="AJ72" s="321" t="e">
        <f t="shared" si="28"/>
        <v>#REF!</v>
      </c>
      <c r="AK72" s="322" t="e">
        <f t="shared" si="28"/>
        <v>#REF!</v>
      </c>
      <c r="AL72" s="323" t="e">
        <f t="shared" si="28"/>
        <v>#REF!</v>
      </c>
      <c r="AM72" s="369" t="s">
        <v>465</v>
      </c>
      <c r="AO72" s="370">
        <f t="shared" si="11"/>
        <v>29</v>
      </c>
      <c r="AP72" s="306">
        <f t="shared" si="12"/>
        <v>6</v>
      </c>
      <c r="AQ72" s="306">
        <f t="shared" si="13"/>
        <v>-23</v>
      </c>
      <c r="AR72" s="306">
        <f t="shared" si="14"/>
        <v>-9</v>
      </c>
      <c r="AS72" s="289"/>
      <c r="AT72" s="325">
        <f t="shared" si="15"/>
        <v>-23</v>
      </c>
      <c r="AU72" s="263">
        <f t="shared" si="15"/>
        <v>43</v>
      </c>
      <c r="AV72" s="263">
        <f t="shared" si="15"/>
        <v>20</v>
      </c>
      <c r="AW72" s="263">
        <f t="shared" si="15"/>
        <v>-1</v>
      </c>
      <c r="AX72" s="308">
        <f t="shared" si="15"/>
        <v>17</v>
      </c>
    </row>
    <row r="73" spans="1:50" ht="15.5" x14ac:dyDescent="0.35">
      <c r="A73" s="262"/>
      <c r="B73" s="326">
        <v>1101</v>
      </c>
      <c r="C73" s="327">
        <v>23</v>
      </c>
      <c r="D73" s="328" t="s">
        <v>404</v>
      </c>
      <c r="E73" s="329">
        <v>2</v>
      </c>
      <c r="F73" s="368" t="s">
        <v>466</v>
      </c>
      <c r="G73" s="314">
        <v>381</v>
      </c>
      <c r="H73" s="643">
        <v>368</v>
      </c>
      <c r="I73" s="315">
        <v>402</v>
      </c>
      <c r="J73" s="315">
        <v>390</v>
      </c>
      <c r="K73" s="315">
        <v>364</v>
      </c>
      <c r="L73" s="315">
        <v>369</v>
      </c>
      <c r="M73" s="315">
        <v>365</v>
      </c>
      <c r="N73" s="315" t="e">
        <v>#REF!</v>
      </c>
      <c r="O73" s="315" t="e">
        <v>#REF!</v>
      </c>
      <c r="P73" s="315" t="e">
        <v>#REF!</v>
      </c>
      <c r="Q73" s="316" t="e">
        <v>#REF!</v>
      </c>
      <c r="R73" s="551">
        <f t="shared" si="21"/>
        <v>373</v>
      </c>
      <c r="S73" s="317"/>
      <c r="T73" s="317"/>
      <c r="U73" s="317"/>
      <c r="V73" s="317"/>
      <c r="W73" s="318"/>
      <c r="X73" s="318"/>
      <c r="Y73" s="318"/>
      <c r="Z73" s="318"/>
      <c r="AA73" s="319"/>
      <c r="AB73" s="320">
        <f t="shared" si="5"/>
        <v>381</v>
      </c>
      <c r="AC73" s="301">
        <f t="shared" si="6"/>
        <v>373</v>
      </c>
      <c r="AD73" s="321">
        <f t="shared" si="7"/>
        <v>407</v>
      </c>
      <c r="AE73" s="321">
        <f t="shared" si="8"/>
        <v>395</v>
      </c>
      <c r="AF73" s="321">
        <f t="shared" si="9"/>
        <v>369</v>
      </c>
      <c r="AG73" s="321">
        <f t="shared" si="10"/>
        <v>374</v>
      </c>
      <c r="AH73" s="321">
        <f t="shared" si="28"/>
        <v>370</v>
      </c>
      <c r="AI73" s="321" t="e">
        <f t="shared" si="28"/>
        <v>#REF!</v>
      </c>
      <c r="AJ73" s="321" t="e">
        <f t="shared" si="28"/>
        <v>#REF!</v>
      </c>
      <c r="AK73" s="322" t="e">
        <f t="shared" si="28"/>
        <v>#REF!</v>
      </c>
      <c r="AL73" s="323" t="e">
        <f t="shared" si="28"/>
        <v>#REF!</v>
      </c>
      <c r="AM73" s="369" t="s">
        <v>466</v>
      </c>
      <c r="AO73" s="306">
        <f t="shared" si="11"/>
        <v>-5</v>
      </c>
      <c r="AP73" s="306">
        <f t="shared" si="12"/>
        <v>-13</v>
      </c>
      <c r="AQ73" s="306">
        <f t="shared" si="13"/>
        <v>-8</v>
      </c>
      <c r="AR73" s="306">
        <f t="shared" si="14"/>
        <v>-11</v>
      </c>
      <c r="AS73" s="289"/>
      <c r="AT73" s="325">
        <f t="shared" si="15"/>
        <v>-8</v>
      </c>
      <c r="AU73" s="263">
        <f t="shared" si="15"/>
        <v>34</v>
      </c>
      <c r="AV73" s="263">
        <f t="shared" ref="AT73:AX94" si="35">AE73-AD73</f>
        <v>-12</v>
      </c>
      <c r="AW73" s="263">
        <f t="shared" si="35"/>
        <v>-26</v>
      </c>
      <c r="AX73" s="308">
        <f t="shared" si="35"/>
        <v>5</v>
      </c>
    </row>
    <row r="74" spans="1:50" ht="15.5" x14ac:dyDescent="0.35">
      <c r="A74" s="262"/>
      <c r="B74" s="290">
        <v>52</v>
      </c>
      <c r="C74" s="291">
        <v>3</v>
      </c>
      <c r="D74" s="292" t="s">
        <v>408</v>
      </c>
      <c r="E74" s="262">
        <v>2</v>
      </c>
      <c r="F74" s="368" t="s">
        <v>467</v>
      </c>
      <c r="G74" s="314">
        <v>424</v>
      </c>
      <c r="H74" s="643">
        <v>380</v>
      </c>
      <c r="I74" s="315">
        <v>404</v>
      </c>
      <c r="J74" s="315">
        <v>433</v>
      </c>
      <c r="K74" s="315">
        <v>411</v>
      </c>
      <c r="L74" s="315">
        <v>358</v>
      </c>
      <c r="M74" s="315">
        <v>372</v>
      </c>
      <c r="N74" s="315" t="e">
        <v>#REF!</v>
      </c>
      <c r="O74" s="315" t="e">
        <v>#REF!</v>
      </c>
      <c r="P74" s="315" t="e">
        <v>#REF!</v>
      </c>
      <c r="Q74" s="316" t="e">
        <v>#REF!</v>
      </c>
      <c r="R74" s="551">
        <f t="shared" ref="R74:R94" si="36">VLOOKUP(B74,budgeting2025, 11, FALSE)</f>
        <v>410</v>
      </c>
      <c r="S74" s="317"/>
      <c r="T74" s="317"/>
      <c r="U74" s="317"/>
      <c r="V74" s="317"/>
      <c r="W74" s="318"/>
      <c r="X74" s="318"/>
      <c r="Y74" s="318"/>
      <c r="Z74" s="318"/>
      <c r="AA74" s="319"/>
      <c r="AB74" s="320">
        <f t="shared" si="5"/>
        <v>424</v>
      </c>
      <c r="AC74" s="301">
        <f t="shared" si="6"/>
        <v>410</v>
      </c>
      <c r="AD74" s="321">
        <f t="shared" si="7"/>
        <v>434</v>
      </c>
      <c r="AE74" s="321">
        <f t="shared" si="8"/>
        <v>463</v>
      </c>
      <c r="AF74" s="321">
        <f t="shared" si="9"/>
        <v>441</v>
      </c>
      <c r="AG74" s="321">
        <f t="shared" si="10"/>
        <v>388</v>
      </c>
      <c r="AH74" s="321">
        <f t="shared" si="28"/>
        <v>402</v>
      </c>
      <c r="AI74" s="321" t="e">
        <f t="shared" si="28"/>
        <v>#REF!</v>
      </c>
      <c r="AJ74" s="321" t="e">
        <f t="shared" si="28"/>
        <v>#REF!</v>
      </c>
      <c r="AK74" s="322" t="e">
        <f t="shared" si="28"/>
        <v>#REF!</v>
      </c>
      <c r="AL74" s="323" t="e">
        <f t="shared" si="28"/>
        <v>#REF!</v>
      </c>
      <c r="AM74" s="369" t="s">
        <v>467</v>
      </c>
      <c r="AO74" s="306">
        <f t="shared" si="11"/>
        <v>-30</v>
      </c>
      <c r="AP74" s="306">
        <f t="shared" si="12"/>
        <v>-44</v>
      </c>
      <c r="AQ74" s="306">
        <f t="shared" si="13"/>
        <v>-14</v>
      </c>
      <c r="AR74" s="306">
        <f t="shared" si="14"/>
        <v>-29</v>
      </c>
      <c r="AS74" s="289"/>
      <c r="AT74" s="325">
        <f t="shared" si="35"/>
        <v>-14</v>
      </c>
      <c r="AU74" s="263">
        <f t="shared" si="35"/>
        <v>24</v>
      </c>
      <c r="AV74" s="263">
        <f t="shared" si="35"/>
        <v>29</v>
      </c>
      <c r="AW74" s="263">
        <f t="shared" si="35"/>
        <v>-22</v>
      </c>
      <c r="AX74" s="308">
        <f t="shared" si="35"/>
        <v>-53</v>
      </c>
    </row>
    <row r="75" spans="1:50" ht="15.5" x14ac:dyDescent="0.35">
      <c r="A75" s="262"/>
      <c r="B75" s="309">
        <v>1081</v>
      </c>
      <c r="C75" s="310">
        <v>21</v>
      </c>
      <c r="D75" s="311" t="s">
        <v>404</v>
      </c>
      <c r="E75" s="312">
        <v>2</v>
      </c>
      <c r="F75" s="366" t="s">
        <v>468</v>
      </c>
      <c r="G75" s="332">
        <v>249</v>
      </c>
      <c r="H75" s="643">
        <v>233</v>
      </c>
      <c r="I75" s="315">
        <v>233</v>
      </c>
      <c r="J75" s="315">
        <v>267</v>
      </c>
      <c r="K75" s="315">
        <v>262</v>
      </c>
      <c r="L75" s="315">
        <v>246</v>
      </c>
      <c r="M75" s="315">
        <v>350</v>
      </c>
      <c r="N75" s="315" t="e">
        <v>#REF!</v>
      </c>
      <c r="O75" s="315" t="e">
        <v>#REF!</v>
      </c>
      <c r="P75" s="315" t="e">
        <v>#REF!</v>
      </c>
      <c r="Q75" s="316" t="e">
        <v>#REF!</v>
      </c>
      <c r="R75" s="551">
        <f t="shared" si="36"/>
        <v>240</v>
      </c>
      <c r="S75" s="317"/>
      <c r="T75" s="317"/>
      <c r="U75" s="317"/>
      <c r="V75" s="317"/>
      <c r="W75" s="318"/>
      <c r="X75" s="318"/>
      <c r="Y75" s="318"/>
      <c r="Z75" s="318"/>
      <c r="AA75" s="319"/>
      <c r="AB75" s="320">
        <f t="shared" ref="AB75:AB94" si="37">G75</f>
        <v>249</v>
      </c>
      <c r="AC75" s="301">
        <f t="shared" ref="AC75:AC94" si="38">R75</f>
        <v>240</v>
      </c>
      <c r="AD75" s="321">
        <f t="shared" ref="AD75:AD94" si="39">(I75-H75)+AC75</f>
        <v>240</v>
      </c>
      <c r="AE75" s="321">
        <f t="shared" ref="AE75:AE94" si="40">(J75-I75)+AD75</f>
        <v>274</v>
      </c>
      <c r="AF75" s="321">
        <f t="shared" ref="AF75:AF94" si="41">(K75-J75)+AE75</f>
        <v>269</v>
      </c>
      <c r="AG75" s="321">
        <f t="shared" ref="AG75:AG94" si="42">(L75-K75)+AF75</f>
        <v>253</v>
      </c>
      <c r="AH75" s="321">
        <f t="shared" ref="AH75:AL91" si="43">(M75-L75)+AG75</f>
        <v>357</v>
      </c>
      <c r="AI75" s="321" t="e">
        <f t="shared" si="43"/>
        <v>#REF!</v>
      </c>
      <c r="AJ75" s="321" t="e">
        <f t="shared" si="43"/>
        <v>#REF!</v>
      </c>
      <c r="AK75" s="322" t="e">
        <f t="shared" si="43"/>
        <v>#REF!</v>
      </c>
      <c r="AL75" s="323" t="e">
        <f t="shared" si="43"/>
        <v>#REF!</v>
      </c>
      <c r="AM75" s="367" t="s">
        <v>468</v>
      </c>
      <c r="AO75" s="306">
        <f t="shared" si="11"/>
        <v>-7</v>
      </c>
      <c r="AP75" s="306">
        <f t="shared" si="12"/>
        <v>-16</v>
      </c>
      <c r="AQ75" s="306">
        <f t="shared" si="13"/>
        <v>-9</v>
      </c>
      <c r="AR75" s="306">
        <f t="shared" si="14"/>
        <v>-13</v>
      </c>
      <c r="AS75" s="289"/>
      <c r="AT75" s="325">
        <f t="shared" si="35"/>
        <v>-9</v>
      </c>
      <c r="AU75" s="263">
        <f t="shared" si="35"/>
        <v>0</v>
      </c>
      <c r="AV75" s="263">
        <f t="shared" si="35"/>
        <v>34</v>
      </c>
      <c r="AW75" s="263">
        <f t="shared" si="35"/>
        <v>-5</v>
      </c>
      <c r="AX75" s="308">
        <f t="shared" si="35"/>
        <v>-16</v>
      </c>
    </row>
    <row r="76" spans="1:50" ht="15.5" x14ac:dyDescent="0.35">
      <c r="A76" s="262"/>
      <c r="B76" s="326">
        <v>2122</v>
      </c>
      <c r="C76" s="327">
        <v>37</v>
      </c>
      <c r="D76" s="328" t="s">
        <v>406</v>
      </c>
      <c r="E76" s="329">
        <v>2</v>
      </c>
      <c r="F76" s="368" t="s">
        <v>469</v>
      </c>
      <c r="G76" s="314">
        <v>987</v>
      </c>
      <c r="H76" s="643">
        <v>953</v>
      </c>
      <c r="I76" s="315">
        <v>1029</v>
      </c>
      <c r="J76" s="315">
        <v>1215</v>
      </c>
      <c r="K76" s="315">
        <v>1211</v>
      </c>
      <c r="L76" s="315">
        <v>1334</v>
      </c>
      <c r="M76" s="315">
        <v>1579</v>
      </c>
      <c r="N76" s="315" t="e">
        <v>#REF!</v>
      </c>
      <c r="O76" s="315" t="e">
        <v>#REF!</v>
      </c>
      <c r="P76" s="315" t="e">
        <v>#REF!</v>
      </c>
      <c r="Q76" s="316" t="e">
        <v>#REF!</v>
      </c>
      <c r="R76" s="551">
        <f t="shared" si="36"/>
        <v>987</v>
      </c>
      <c r="S76" s="317"/>
      <c r="T76" s="317"/>
      <c r="U76" s="317"/>
      <c r="V76" s="317"/>
      <c r="W76" s="318"/>
      <c r="X76" s="318"/>
      <c r="Y76" s="318"/>
      <c r="Z76" s="318"/>
      <c r="AA76" s="319"/>
      <c r="AB76" s="320">
        <f t="shared" si="37"/>
        <v>987</v>
      </c>
      <c r="AC76" s="301">
        <f t="shared" si="38"/>
        <v>987</v>
      </c>
      <c r="AD76" s="321">
        <f t="shared" si="39"/>
        <v>1063</v>
      </c>
      <c r="AE76" s="321">
        <f t="shared" si="40"/>
        <v>1249</v>
      </c>
      <c r="AF76" s="321">
        <f t="shared" si="41"/>
        <v>1245</v>
      </c>
      <c r="AG76" s="321">
        <f t="shared" si="42"/>
        <v>1368</v>
      </c>
      <c r="AH76" s="321">
        <f t="shared" si="43"/>
        <v>1613</v>
      </c>
      <c r="AI76" s="321" t="e">
        <f t="shared" si="43"/>
        <v>#REF!</v>
      </c>
      <c r="AJ76" s="321" t="e">
        <f t="shared" si="43"/>
        <v>#REF!</v>
      </c>
      <c r="AK76" s="322" t="e">
        <f t="shared" si="43"/>
        <v>#REF!</v>
      </c>
      <c r="AL76" s="323" t="e">
        <f t="shared" si="43"/>
        <v>#REF!</v>
      </c>
      <c r="AM76" s="369" t="s">
        <v>469</v>
      </c>
      <c r="AO76" s="306">
        <f t="shared" si="11"/>
        <v>-34</v>
      </c>
      <c r="AP76" s="306">
        <f t="shared" si="12"/>
        <v>-34</v>
      </c>
      <c r="AQ76" s="306">
        <f t="shared" si="13"/>
        <v>0</v>
      </c>
      <c r="AR76" s="306">
        <f t="shared" si="14"/>
        <v>-17</v>
      </c>
      <c r="AS76" s="289"/>
      <c r="AT76" s="325">
        <f t="shared" si="35"/>
        <v>0</v>
      </c>
      <c r="AU76" s="263">
        <f t="shared" si="35"/>
        <v>76</v>
      </c>
      <c r="AV76" s="263">
        <f t="shared" si="35"/>
        <v>186</v>
      </c>
      <c r="AW76" s="263">
        <f t="shared" si="35"/>
        <v>-4</v>
      </c>
      <c r="AX76" s="308">
        <f t="shared" si="35"/>
        <v>123</v>
      </c>
    </row>
    <row r="77" spans="1:50" ht="15.5" x14ac:dyDescent="0.35">
      <c r="A77" s="262"/>
      <c r="B77" s="290">
        <v>2071</v>
      </c>
      <c r="C77" s="291">
        <v>33</v>
      </c>
      <c r="D77" s="292" t="s">
        <v>406</v>
      </c>
      <c r="E77" s="262">
        <v>2</v>
      </c>
      <c r="F77" s="368" t="s">
        <v>470</v>
      </c>
      <c r="G77" s="314">
        <v>527</v>
      </c>
      <c r="H77" s="643">
        <v>575</v>
      </c>
      <c r="I77" s="315">
        <v>636</v>
      </c>
      <c r="J77" s="315">
        <v>640</v>
      </c>
      <c r="K77" s="315">
        <v>706</v>
      </c>
      <c r="L77" s="315">
        <v>717</v>
      </c>
      <c r="M77" s="315">
        <v>841</v>
      </c>
      <c r="N77" s="315" t="e">
        <v>#REF!</v>
      </c>
      <c r="O77" s="315" t="e">
        <v>#REF!</v>
      </c>
      <c r="P77" s="315" t="e">
        <v>#REF!</v>
      </c>
      <c r="Q77" s="316" t="e">
        <v>#REF!</v>
      </c>
      <c r="R77" s="551">
        <f t="shared" si="36"/>
        <v>510</v>
      </c>
      <c r="S77" s="317"/>
      <c r="T77" s="317"/>
      <c r="U77" s="317"/>
      <c r="V77" s="317"/>
      <c r="W77" s="318"/>
      <c r="X77" s="318"/>
      <c r="Y77" s="318"/>
      <c r="Z77" s="318"/>
      <c r="AA77" s="319"/>
      <c r="AB77" s="320">
        <f t="shared" si="37"/>
        <v>527</v>
      </c>
      <c r="AC77" s="301">
        <f t="shared" si="38"/>
        <v>510</v>
      </c>
      <c r="AD77" s="321">
        <f t="shared" si="39"/>
        <v>571</v>
      </c>
      <c r="AE77" s="321">
        <f t="shared" si="40"/>
        <v>575</v>
      </c>
      <c r="AF77" s="321">
        <f t="shared" si="41"/>
        <v>641</v>
      </c>
      <c r="AG77" s="321">
        <f t="shared" si="42"/>
        <v>652</v>
      </c>
      <c r="AH77" s="321">
        <f t="shared" si="43"/>
        <v>776</v>
      </c>
      <c r="AI77" s="321" t="e">
        <f t="shared" si="43"/>
        <v>#REF!</v>
      </c>
      <c r="AJ77" s="321" t="e">
        <f t="shared" si="43"/>
        <v>#REF!</v>
      </c>
      <c r="AK77" s="322" t="e">
        <f t="shared" si="43"/>
        <v>#REF!</v>
      </c>
      <c r="AL77" s="323" t="e">
        <f t="shared" si="43"/>
        <v>#REF!</v>
      </c>
      <c r="AM77" s="369" t="s">
        <v>470</v>
      </c>
      <c r="AO77" s="306">
        <f t="shared" ref="AO77:AO93" si="44">H77-R77</f>
        <v>65</v>
      </c>
      <c r="AP77" s="306">
        <f t="shared" ref="AP77:AP94" si="45">H77-AB77</f>
        <v>48</v>
      </c>
      <c r="AQ77" s="306">
        <f t="shared" ref="AQ77:AQ94" si="46">AC77-AB77</f>
        <v>-17</v>
      </c>
      <c r="AR77" s="306">
        <f t="shared" ref="AR77:AR94" si="47">ROUND(((H77+AC77)/2)-AB77, 0)</f>
        <v>16</v>
      </c>
      <c r="AS77" s="289"/>
      <c r="AT77" s="325">
        <f t="shared" si="35"/>
        <v>-17</v>
      </c>
      <c r="AU77" s="263">
        <f t="shared" si="35"/>
        <v>61</v>
      </c>
      <c r="AV77" s="263">
        <f t="shared" si="35"/>
        <v>4</v>
      </c>
      <c r="AW77" s="263">
        <f t="shared" si="35"/>
        <v>66</v>
      </c>
      <c r="AX77" s="308">
        <f t="shared" si="35"/>
        <v>11</v>
      </c>
    </row>
    <row r="78" spans="1:50" ht="16" thickBot="1" x14ac:dyDescent="0.4">
      <c r="A78" s="262"/>
      <c r="B78" s="290">
        <v>3171</v>
      </c>
      <c r="C78" s="291">
        <v>128</v>
      </c>
      <c r="D78" s="292" t="s">
        <v>404</v>
      </c>
      <c r="E78" s="262">
        <v>2</v>
      </c>
      <c r="F78" s="552" t="s">
        <v>509</v>
      </c>
      <c r="G78" s="348">
        <v>832</v>
      </c>
      <c r="H78" s="648">
        <v>878</v>
      </c>
      <c r="I78" s="649">
        <v>910</v>
      </c>
      <c r="J78" s="649">
        <v>921</v>
      </c>
      <c r="K78" s="649">
        <v>923</v>
      </c>
      <c r="L78" s="660">
        <v>945</v>
      </c>
      <c r="M78" s="349" t="e">
        <v>#REF!</v>
      </c>
      <c r="N78" s="349" t="e">
        <v>#REF!</v>
      </c>
      <c r="O78" s="349" t="e">
        <v>#REF!</v>
      </c>
      <c r="P78" s="349" t="e">
        <v>#REF!</v>
      </c>
      <c r="Q78" s="350" t="e">
        <v>#REF!</v>
      </c>
      <c r="R78" s="553">
        <f t="shared" si="36"/>
        <v>878</v>
      </c>
      <c r="S78" s="352"/>
      <c r="T78" s="352"/>
      <c r="U78" s="352"/>
      <c r="V78" s="352"/>
      <c r="W78" s="353"/>
      <c r="X78" s="353"/>
      <c r="Y78" s="353"/>
      <c r="Z78" s="353"/>
      <c r="AA78" s="354"/>
      <c r="AB78" s="355">
        <f t="shared" si="37"/>
        <v>832</v>
      </c>
      <c r="AC78" s="351">
        <f t="shared" ref="AC78" si="48">R78</f>
        <v>878</v>
      </c>
      <c r="AD78" s="356">
        <f t="shared" ref="AD78" si="49">(I78-H78)+AC78</f>
        <v>910</v>
      </c>
      <c r="AE78" s="356">
        <f t="shared" ref="AE78" si="50">(J78-I78)+AD78</f>
        <v>921</v>
      </c>
      <c r="AF78" s="356">
        <f t="shared" ref="AF78" si="51">(K78-J78)+AE78</f>
        <v>923</v>
      </c>
      <c r="AG78" s="356">
        <f t="shared" ref="AG78" si="52">(L78-K78)+AF78</f>
        <v>945</v>
      </c>
      <c r="AH78" s="534" t="e">
        <f t="shared" ref="AH78" si="53">(M78-L78)+AG78</f>
        <v>#REF!</v>
      </c>
      <c r="AI78" s="534" t="e">
        <f t="shared" ref="AI78" si="54">(N78-M78)+AH78</f>
        <v>#REF!</v>
      </c>
      <c r="AJ78" s="534" t="e">
        <f t="shared" ref="AJ78" si="55">(O78-N78)+AI78</f>
        <v>#REF!</v>
      </c>
      <c r="AK78" s="535" t="e">
        <f t="shared" ref="AK78" si="56">(P78-O78)+AJ78</f>
        <v>#REF!</v>
      </c>
      <c r="AL78" s="536" t="e">
        <f t="shared" ref="AL78" si="57">(Q78-P78)+AK78</f>
        <v>#REF!</v>
      </c>
      <c r="AM78" s="537" t="s">
        <v>470</v>
      </c>
      <c r="AN78" s="538"/>
      <c r="AO78" s="539">
        <f t="shared" ref="AO78" si="58">H78-R78</f>
        <v>0</v>
      </c>
      <c r="AP78" s="539">
        <f t="shared" ref="AP78" si="59">H78-AB78</f>
        <v>46</v>
      </c>
      <c r="AQ78" s="539">
        <f t="shared" ref="AQ78" si="60">AC78-AB78</f>
        <v>46</v>
      </c>
      <c r="AR78" s="539">
        <f t="shared" ref="AR78" si="61">ROUND(((H78+AC78)/2)-AB78, 0)</f>
        <v>46</v>
      </c>
      <c r="AS78" s="540"/>
      <c r="AT78" s="541">
        <f t="shared" ref="AT78" si="62">AC78-AB78</f>
        <v>46</v>
      </c>
      <c r="AU78" s="538">
        <f t="shared" ref="AU78" si="63">AD78-AC78</f>
        <v>32</v>
      </c>
      <c r="AV78" s="538">
        <f t="shared" ref="AV78" si="64">AE78-AD78</f>
        <v>11</v>
      </c>
      <c r="AW78" s="538">
        <f t="shared" ref="AW78" si="65">AF78-AE78</f>
        <v>2</v>
      </c>
      <c r="AX78" s="542">
        <f t="shared" ref="AX78" si="66">AG78-AF78</f>
        <v>22</v>
      </c>
    </row>
    <row r="79" spans="1:50" ht="15.5" x14ac:dyDescent="0.35">
      <c r="A79" s="262"/>
      <c r="B79" s="309">
        <v>1121</v>
      </c>
      <c r="C79" s="310">
        <v>25</v>
      </c>
      <c r="D79" s="311" t="s">
        <v>404</v>
      </c>
      <c r="E79" s="312">
        <v>3</v>
      </c>
      <c r="F79" s="371" t="s">
        <v>471</v>
      </c>
      <c r="G79" s="294">
        <v>1311</v>
      </c>
      <c r="H79" s="642">
        <v>1235</v>
      </c>
      <c r="I79" s="295">
        <v>1198</v>
      </c>
      <c r="J79" s="295">
        <v>1207</v>
      </c>
      <c r="K79" s="295">
        <v>1204</v>
      </c>
      <c r="L79" s="295">
        <v>1204</v>
      </c>
      <c r="M79" s="295">
        <v>1320</v>
      </c>
      <c r="N79" s="295" t="e">
        <v>#REF!</v>
      </c>
      <c r="O79" s="295" t="e">
        <v>#REF!</v>
      </c>
      <c r="P79" s="295" t="e">
        <v>#REF!</v>
      </c>
      <c r="Q79" s="296" t="e">
        <v>#REF!</v>
      </c>
      <c r="R79" s="557">
        <f t="shared" si="36"/>
        <v>1235</v>
      </c>
      <c r="S79" s="298"/>
      <c r="T79" s="298"/>
      <c r="U79" s="298"/>
      <c r="V79" s="298"/>
      <c r="W79" s="299"/>
      <c r="X79" s="299"/>
      <c r="Y79" s="299"/>
      <c r="Z79" s="299"/>
      <c r="AA79" s="300"/>
      <c r="AB79" s="343">
        <f t="shared" si="37"/>
        <v>1311</v>
      </c>
      <c r="AC79" s="297">
        <f t="shared" si="38"/>
        <v>1235</v>
      </c>
      <c r="AD79" s="302">
        <f t="shared" si="39"/>
        <v>1198</v>
      </c>
      <c r="AE79" s="302">
        <f t="shared" si="40"/>
        <v>1207</v>
      </c>
      <c r="AF79" s="302">
        <f t="shared" si="41"/>
        <v>1204</v>
      </c>
      <c r="AG79" s="302">
        <f t="shared" si="42"/>
        <v>1204</v>
      </c>
      <c r="AH79" s="302">
        <f t="shared" si="43"/>
        <v>1320</v>
      </c>
      <c r="AI79" s="302" t="e">
        <f t="shared" si="43"/>
        <v>#REF!</v>
      </c>
      <c r="AJ79" s="302" t="e">
        <f t="shared" si="43"/>
        <v>#REF!</v>
      </c>
      <c r="AK79" s="303" t="e">
        <f t="shared" si="43"/>
        <v>#REF!</v>
      </c>
      <c r="AL79" s="304" t="e">
        <f t="shared" si="43"/>
        <v>#REF!</v>
      </c>
      <c r="AM79" s="533" t="s">
        <v>471</v>
      </c>
      <c r="AO79" s="306">
        <f t="shared" si="44"/>
        <v>0</v>
      </c>
      <c r="AP79" s="306">
        <f t="shared" si="45"/>
        <v>-76</v>
      </c>
      <c r="AQ79" s="306">
        <f t="shared" si="46"/>
        <v>-76</v>
      </c>
      <c r="AR79" s="306">
        <f t="shared" si="47"/>
        <v>-76</v>
      </c>
      <c r="AS79" s="289"/>
      <c r="AT79" s="325">
        <f t="shared" si="35"/>
        <v>-76</v>
      </c>
      <c r="AU79" s="263">
        <f t="shared" si="35"/>
        <v>-37</v>
      </c>
      <c r="AV79" s="263">
        <f t="shared" si="35"/>
        <v>9</v>
      </c>
      <c r="AW79" s="263">
        <f t="shared" si="35"/>
        <v>-3</v>
      </c>
      <c r="AX79" s="308">
        <f t="shared" si="35"/>
        <v>0</v>
      </c>
    </row>
    <row r="80" spans="1:50" ht="15.5" x14ac:dyDescent="0.35">
      <c r="A80" s="262"/>
      <c r="B80" s="309">
        <v>5011</v>
      </c>
      <c r="C80" s="310">
        <v>62</v>
      </c>
      <c r="D80" s="311" t="s">
        <v>408</v>
      </c>
      <c r="E80" s="312">
        <v>3</v>
      </c>
      <c r="F80" s="373" t="s">
        <v>472</v>
      </c>
      <c r="G80" s="314">
        <v>997</v>
      </c>
      <c r="H80" s="643">
        <v>983</v>
      </c>
      <c r="I80" s="315">
        <v>920</v>
      </c>
      <c r="J80" s="315">
        <v>894</v>
      </c>
      <c r="K80" s="315">
        <v>858</v>
      </c>
      <c r="L80" s="315">
        <v>831</v>
      </c>
      <c r="M80" s="315">
        <v>859</v>
      </c>
      <c r="N80" s="315" t="e">
        <v>#REF!</v>
      </c>
      <c r="O80" s="315" t="e">
        <v>#REF!</v>
      </c>
      <c r="P80" s="315" t="e">
        <v>#REF!</v>
      </c>
      <c r="Q80" s="316" t="e">
        <v>#REF!</v>
      </c>
      <c r="R80" s="551">
        <f t="shared" si="36"/>
        <v>984</v>
      </c>
      <c r="S80" s="317"/>
      <c r="T80" s="317"/>
      <c r="U80" s="317"/>
      <c r="V80" s="317"/>
      <c r="W80" s="318"/>
      <c r="X80" s="318"/>
      <c r="Y80" s="318"/>
      <c r="Z80" s="318"/>
      <c r="AA80" s="319"/>
      <c r="AB80" s="320">
        <f t="shared" si="37"/>
        <v>997</v>
      </c>
      <c r="AC80" s="301">
        <f t="shared" si="38"/>
        <v>984</v>
      </c>
      <c r="AD80" s="321">
        <f t="shared" si="39"/>
        <v>921</v>
      </c>
      <c r="AE80" s="321">
        <f t="shared" si="40"/>
        <v>895</v>
      </c>
      <c r="AF80" s="321">
        <f t="shared" si="41"/>
        <v>859</v>
      </c>
      <c r="AG80" s="321">
        <f t="shared" si="42"/>
        <v>832</v>
      </c>
      <c r="AH80" s="321">
        <f t="shared" si="43"/>
        <v>860</v>
      </c>
      <c r="AI80" s="321" t="e">
        <f t="shared" si="43"/>
        <v>#REF!</v>
      </c>
      <c r="AJ80" s="321" t="e">
        <f t="shared" si="43"/>
        <v>#REF!</v>
      </c>
      <c r="AK80" s="322" t="e">
        <f t="shared" si="43"/>
        <v>#REF!</v>
      </c>
      <c r="AL80" s="323" t="e">
        <f t="shared" si="43"/>
        <v>#REF!</v>
      </c>
      <c r="AM80" s="372" t="s">
        <v>472</v>
      </c>
      <c r="AO80" s="306">
        <f t="shared" si="44"/>
        <v>-1</v>
      </c>
      <c r="AP80" s="306">
        <f t="shared" si="45"/>
        <v>-14</v>
      </c>
      <c r="AQ80" s="306">
        <f t="shared" si="46"/>
        <v>-13</v>
      </c>
      <c r="AR80" s="306">
        <f t="shared" si="47"/>
        <v>-14</v>
      </c>
      <c r="AS80" s="289"/>
      <c r="AT80" s="325">
        <f t="shared" si="35"/>
        <v>-13</v>
      </c>
      <c r="AU80" s="263">
        <f t="shared" si="35"/>
        <v>-63</v>
      </c>
      <c r="AV80" s="263">
        <f t="shared" si="35"/>
        <v>-26</v>
      </c>
      <c r="AW80" s="263">
        <f t="shared" si="35"/>
        <v>-36</v>
      </c>
      <c r="AX80" s="308">
        <f t="shared" si="35"/>
        <v>-27</v>
      </c>
    </row>
    <row r="81" spans="1:50" ht="15.5" x14ac:dyDescent="0.35">
      <c r="A81" s="262"/>
      <c r="B81" s="326">
        <v>4021</v>
      </c>
      <c r="C81" s="327">
        <v>55</v>
      </c>
      <c r="D81" s="328" t="s">
        <v>408</v>
      </c>
      <c r="E81" s="329">
        <v>3</v>
      </c>
      <c r="F81" s="373" t="s">
        <v>473</v>
      </c>
      <c r="G81" s="314">
        <v>942</v>
      </c>
      <c r="H81" s="643">
        <v>944</v>
      </c>
      <c r="I81" s="315">
        <v>944</v>
      </c>
      <c r="J81" s="315">
        <v>944</v>
      </c>
      <c r="K81" s="315">
        <v>944</v>
      </c>
      <c r="L81" s="315">
        <v>944</v>
      </c>
      <c r="M81" s="315">
        <v>943</v>
      </c>
      <c r="N81" s="315" t="e">
        <v>#REF!</v>
      </c>
      <c r="O81" s="315" t="e">
        <v>#REF!</v>
      </c>
      <c r="P81" s="315" t="e">
        <v>#REF!</v>
      </c>
      <c r="Q81" s="316" t="e">
        <v>#REF!</v>
      </c>
      <c r="R81" s="551">
        <f t="shared" si="36"/>
        <v>944</v>
      </c>
      <c r="S81" s="317"/>
      <c r="T81" s="317"/>
      <c r="U81" s="317"/>
      <c r="V81" s="317"/>
      <c r="W81" s="318"/>
      <c r="X81" s="318"/>
      <c r="Y81" s="318"/>
      <c r="Z81" s="318"/>
      <c r="AA81" s="319"/>
      <c r="AB81" s="320">
        <f t="shared" si="37"/>
        <v>942</v>
      </c>
      <c r="AC81" s="301">
        <f t="shared" si="38"/>
        <v>944</v>
      </c>
      <c r="AD81" s="321">
        <f t="shared" si="39"/>
        <v>944</v>
      </c>
      <c r="AE81" s="321">
        <f t="shared" si="40"/>
        <v>944</v>
      </c>
      <c r="AF81" s="321">
        <f t="shared" si="41"/>
        <v>944</v>
      </c>
      <c r="AG81" s="321">
        <f t="shared" si="42"/>
        <v>944</v>
      </c>
      <c r="AH81" s="321">
        <f t="shared" si="43"/>
        <v>943</v>
      </c>
      <c r="AI81" s="321" t="e">
        <f t="shared" si="43"/>
        <v>#REF!</v>
      </c>
      <c r="AJ81" s="321" t="e">
        <f t="shared" si="43"/>
        <v>#REF!</v>
      </c>
      <c r="AK81" s="322" t="e">
        <f t="shared" si="43"/>
        <v>#REF!</v>
      </c>
      <c r="AL81" s="323" t="e">
        <f t="shared" si="43"/>
        <v>#REF!</v>
      </c>
      <c r="AM81" s="372" t="s">
        <v>473</v>
      </c>
      <c r="AO81" s="306">
        <f t="shared" si="44"/>
        <v>0</v>
      </c>
      <c r="AP81" s="306">
        <f t="shared" si="45"/>
        <v>2</v>
      </c>
      <c r="AQ81" s="306">
        <f t="shared" si="46"/>
        <v>2</v>
      </c>
      <c r="AR81" s="306">
        <f t="shared" si="47"/>
        <v>2</v>
      </c>
      <c r="AS81" s="289"/>
      <c r="AT81" s="325">
        <f t="shared" si="35"/>
        <v>2</v>
      </c>
      <c r="AU81" s="263">
        <f t="shared" si="35"/>
        <v>0</v>
      </c>
      <c r="AV81" s="263">
        <f t="shared" si="35"/>
        <v>0</v>
      </c>
      <c r="AW81" s="263">
        <f t="shared" si="35"/>
        <v>0</v>
      </c>
      <c r="AX81" s="308">
        <f t="shared" si="35"/>
        <v>0</v>
      </c>
    </row>
    <row r="82" spans="1:50" ht="15.5" x14ac:dyDescent="0.35">
      <c r="A82" s="262"/>
      <c r="B82" s="290">
        <v>302</v>
      </c>
      <c r="C82" s="291">
        <v>106</v>
      </c>
      <c r="D82" s="292" t="s">
        <v>408</v>
      </c>
      <c r="E82" s="262">
        <v>3</v>
      </c>
      <c r="F82" s="373" t="s">
        <v>474</v>
      </c>
      <c r="G82" s="314">
        <v>1465</v>
      </c>
      <c r="H82" s="643">
        <v>1424</v>
      </c>
      <c r="I82" s="315">
        <v>1380</v>
      </c>
      <c r="J82" s="315">
        <v>1364</v>
      </c>
      <c r="K82" s="315">
        <v>1302</v>
      </c>
      <c r="L82" s="315">
        <v>1311</v>
      </c>
      <c r="M82" s="315">
        <v>1356</v>
      </c>
      <c r="N82" s="315" t="e">
        <v>#REF!</v>
      </c>
      <c r="O82" s="315" t="e">
        <v>#REF!</v>
      </c>
      <c r="P82" s="315" t="e">
        <v>#REF!</v>
      </c>
      <c r="Q82" s="316" t="e">
        <v>#REF!</v>
      </c>
      <c r="R82" s="551">
        <f t="shared" si="36"/>
        <v>1424</v>
      </c>
      <c r="S82" s="317"/>
      <c r="T82" s="317"/>
      <c r="U82" s="317"/>
      <c r="V82" s="317"/>
      <c r="W82" s="318"/>
      <c r="X82" s="318"/>
      <c r="Y82" s="318"/>
      <c r="Z82" s="318"/>
      <c r="AA82" s="319"/>
      <c r="AB82" s="320">
        <f t="shared" si="37"/>
        <v>1465</v>
      </c>
      <c r="AC82" s="301">
        <f t="shared" si="38"/>
        <v>1424</v>
      </c>
      <c r="AD82" s="321">
        <f t="shared" si="39"/>
        <v>1380</v>
      </c>
      <c r="AE82" s="321">
        <f t="shared" si="40"/>
        <v>1364</v>
      </c>
      <c r="AF82" s="321">
        <f t="shared" si="41"/>
        <v>1302</v>
      </c>
      <c r="AG82" s="321">
        <f t="shared" si="42"/>
        <v>1311</v>
      </c>
      <c r="AH82" s="321">
        <f t="shared" si="43"/>
        <v>1356</v>
      </c>
      <c r="AI82" s="321" t="e">
        <f t="shared" si="43"/>
        <v>#REF!</v>
      </c>
      <c r="AJ82" s="321" t="e">
        <f t="shared" si="43"/>
        <v>#REF!</v>
      </c>
      <c r="AK82" s="322" t="e">
        <f t="shared" si="43"/>
        <v>#REF!</v>
      </c>
      <c r="AL82" s="323" t="e">
        <f t="shared" si="43"/>
        <v>#REF!</v>
      </c>
      <c r="AM82" s="372" t="s">
        <v>474</v>
      </c>
      <c r="AO82" s="306">
        <f t="shared" si="44"/>
        <v>0</v>
      </c>
      <c r="AP82" s="306">
        <f t="shared" si="45"/>
        <v>-41</v>
      </c>
      <c r="AQ82" s="306">
        <f t="shared" si="46"/>
        <v>-41</v>
      </c>
      <c r="AR82" s="306">
        <f t="shared" si="47"/>
        <v>-41</v>
      </c>
      <c r="AS82" s="289"/>
      <c r="AT82" s="325">
        <f t="shared" si="35"/>
        <v>-41</v>
      </c>
      <c r="AU82" s="263">
        <f t="shared" si="35"/>
        <v>-44</v>
      </c>
      <c r="AV82" s="263">
        <f t="shared" si="35"/>
        <v>-16</v>
      </c>
      <c r="AW82" s="263">
        <f t="shared" si="35"/>
        <v>-62</v>
      </c>
      <c r="AX82" s="308">
        <f t="shared" si="35"/>
        <v>9</v>
      </c>
    </row>
    <row r="83" spans="1:50" ht="16" thickBot="1" x14ac:dyDescent="0.4">
      <c r="A83" s="262"/>
      <c r="B83" s="309">
        <v>3141</v>
      </c>
      <c r="C83" s="310">
        <v>44</v>
      </c>
      <c r="D83" s="311" t="s">
        <v>406</v>
      </c>
      <c r="E83" s="312">
        <v>3</v>
      </c>
      <c r="F83" s="374" t="s">
        <v>475</v>
      </c>
      <c r="G83" s="348">
        <v>941</v>
      </c>
      <c r="H83" s="644">
        <v>942</v>
      </c>
      <c r="I83" s="349">
        <v>942</v>
      </c>
      <c r="J83" s="349">
        <v>942</v>
      </c>
      <c r="K83" s="349">
        <v>942</v>
      </c>
      <c r="L83" s="349">
        <v>942</v>
      </c>
      <c r="M83" s="349">
        <v>947</v>
      </c>
      <c r="N83" s="349" t="e">
        <v>#REF!</v>
      </c>
      <c r="O83" s="349" t="e">
        <v>#REF!</v>
      </c>
      <c r="P83" s="349" t="e">
        <v>#REF!</v>
      </c>
      <c r="Q83" s="350" t="e">
        <v>#REF!</v>
      </c>
      <c r="R83" s="553">
        <f t="shared" si="36"/>
        <v>942</v>
      </c>
      <c r="S83" s="352"/>
      <c r="T83" s="352"/>
      <c r="U83" s="352"/>
      <c r="V83" s="352"/>
      <c r="W83" s="353"/>
      <c r="X83" s="353"/>
      <c r="Y83" s="353"/>
      <c r="Z83" s="353"/>
      <c r="AA83" s="354"/>
      <c r="AB83" s="355">
        <f t="shared" si="37"/>
        <v>941</v>
      </c>
      <c r="AC83" s="351">
        <f t="shared" si="38"/>
        <v>942</v>
      </c>
      <c r="AD83" s="356">
        <f t="shared" si="39"/>
        <v>942</v>
      </c>
      <c r="AE83" s="356">
        <f t="shared" si="40"/>
        <v>942</v>
      </c>
      <c r="AF83" s="356">
        <f t="shared" si="41"/>
        <v>942</v>
      </c>
      <c r="AG83" s="356">
        <f t="shared" si="42"/>
        <v>942</v>
      </c>
      <c r="AH83" s="321">
        <f t="shared" si="43"/>
        <v>947</v>
      </c>
      <c r="AI83" s="321" t="e">
        <f t="shared" si="43"/>
        <v>#REF!</v>
      </c>
      <c r="AJ83" s="321" t="e">
        <f t="shared" si="43"/>
        <v>#REF!</v>
      </c>
      <c r="AK83" s="322" t="e">
        <f t="shared" si="43"/>
        <v>#REF!</v>
      </c>
      <c r="AL83" s="323" t="e">
        <f t="shared" si="43"/>
        <v>#REF!</v>
      </c>
      <c r="AM83" s="375" t="s">
        <v>475</v>
      </c>
      <c r="AO83" s="360">
        <f t="shared" si="44"/>
        <v>0</v>
      </c>
      <c r="AP83" s="360">
        <f t="shared" si="45"/>
        <v>1</v>
      </c>
      <c r="AQ83" s="360">
        <f t="shared" si="46"/>
        <v>1</v>
      </c>
      <c r="AR83" s="360">
        <f t="shared" si="47"/>
        <v>1</v>
      </c>
      <c r="AS83" s="289"/>
      <c r="AT83" s="361">
        <f t="shared" si="35"/>
        <v>1</v>
      </c>
      <c r="AU83" s="362">
        <f t="shared" si="35"/>
        <v>0</v>
      </c>
      <c r="AV83" s="362">
        <f t="shared" si="35"/>
        <v>0</v>
      </c>
      <c r="AW83" s="362">
        <f t="shared" si="35"/>
        <v>0</v>
      </c>
      <c r="AX83" s="363">
        <f t="shared" si="35"/>
        <v>0</v>
      </c>
    </row>
    <row r="84" spans="1:50" ht="15.5" x14ac:dyDescent="0.35">
      <c r="A84" s="262"/>
      <c r="B84" s="326">
        <v>161</v>
      </c>
      <c r="C84" s="327">
        <v>12</v>
      </c>
      <c r="D84" s="328" t="s">
        <v>408</v>
      </c>
      <c r="E84" s="329">
        <v>4</v>
      </c>
      <c r="F84" s="376" t="s">
        <v>476</v>
      </c>
      <c r="G84" s="294">
        <v>1018</v>
      </c>
      <c r="H84" s="642">
        <v>1006</v>
      </c>
      <c r="I84" s="295">
        <v>956</v>
      </c>
      <c r="J84" s="295">
        <v>912</v>
      </c>
      <c r="K84" s="295">
        <v>904</v>
      </c>
      <c r="L84" s="295">
        <v>901</v>
      </c>
      <c r="M84" s="295">
        <v>976</v>
      </c>
      <c r="N84" s="295" t="e">
        <v>#REF!</v>
      </c>
      <c r="O84" s="295" t="e">
        <v>#REF!</v>
      </c>
      <c r="P84" s="295" t="e">
        <v>#REF!</v>
      </c>
      <c r="Q84" s="296" t="e">
        <v>#REF!</v>
      </c>
      <c r="R84" s="557">
        <f t="shared" si="36"/>
        <v>1006</v>
      </c>
      <c r="S84" s="298"/>
      <c r="T84" s="298"/>
      <c r="U84" s="298"/>
      <c r="V84" s="298"/>
      <c r="W84" s="299"/>
      <c r="X84" s="299"/>
      <c r="Y84" s="299"/>
      <c r="Z84" s="299"/>
      <c r="AA84" s="300"/>
      <c r="AB84" s="343">
        <f t="shared" si="37"/>
        <v>1018</v>
      </c>
      <c r="AC84" s="297">
        <f t="shared" si="38"/>
        <v>1006</v>
      </c>
      <c r="AD84" s="302">
        <f t="shared" si="39"/>
        <v>956</v>
      </c>
      <c r="AE84" s="302">
        <f t="shared" si="40"/>
        <v>912</v>
      </c>
      <c r="AF84" s="302">
        <f t="shared" si="41"/>
        <v>904</v>
      </c>
      <c r="AG84" s="302">
        <f t="shared" si="42"/>
        <v>901</v>
      </c>
      <c r="AH84" s="321">
        <f t="shared" si="43"/>
        <v>976</v>
      </c>
      <c r="AI84" s="321" t="e">
        <f t="shared" si="43"/>
        <v>#REF!</v>
      </c>
      <c r="AJ84" s="321" t="e">
        <f t="shared" si="43"/>
        <v>#REF!</v>
      </c>
      <c r="AK84" s="322" t="e">
        <f t="shared" si="43"/>
        <v>#REF!</v>
      </c>
      <c r="AL84" s="323" t="e">
        <f t="shared" si="43"/>
        <v>#REF!</v>
      </c>
      <c r="AM84" s="377" t="s">
        <v>476</v>
      </c>
      <c r="AO84" s="306">
        <f t="shared" si="44"/>
        <v>0</v>
      </c>
      <c r="AP84" s="306">
        <f t="shared" si="45"/>
        <v>-12</v>
      </c>
      <c r="AQ84" s="306">
        <f t="shared" si="46"/>
        <v>-12</v>
      </c>
      <c r="AR84" s="306">
        <f t="shared" si="47"/>
        <v>-12</v>
      </c>
      <c r="AS84" s="289"/>
      <c r="AT84" s="325">
        <f t="shared" si="35"/>
        <v>-12</v>
      </c>
      <c r="AU84" s="263">
        <f t="shared" si="35"/>
        <v>-50</v>
      </c>
      <c r="AV84" s="263">
        <f t="shared" si="35"/>
        <v>-44</v>
      </c>
      <c r="AW84" s="263">
        <f t="shared" si="35"/>
        <v>-8</v>
      </c>
      <c r="AX84" s="308">
        <f t="shared" si="35"/>
        <v>-3</v>
      </c>
    </row>
    <row r="85" spans="1:50" ht="15.5" x14ac:dyDescent="0.35">
      <c r="A85" s="262"/>
      <c r="B85" s="290">
        <v>2211</v>
      </c>
      <c r="C85" s="291">
        <v>108</v>
      </c>
      <c r="D85" s="292" t="s">
        <v>406</v>
      </c>
      <c r="E85" s="262">
        <v>4</v>
      </c>
      <c r="F85" s="378" t="s">
        <v>477</v>
      </c>
      <c r="G85" s="314">
        <v>2206</v>
      </c>
      <c r="H85" s="643">
        <v>2288</v>
      </c>
      <c r="I85" s="656">
        <v>2313</v>
      </c>
      <c r="J85" s="656">
        <v>2363</v>
      </c>
      <c r="K85" s="315">
        <v>2473</v>
      </c>
      <c r="L85" s="315">
        <v>2654</v>
      </c>
      <c r="M85" s="315">
        <v>3014</v>
      </c>
      <c r="N85" s="315" t="e">
        <v>#REF!</v>
      </c>
      <c r="O85" s="315" t="e">
        <v>#REF!</v>
      </c>
      <c r="P85" s="315" t="e">
        <v>#REF!</v>
      </c>
      <c r="Q85" s="316" t="e">
        <v>#REF!</v>
      </c>
      <c r="R85" s="556">
        <f t="shared" si="36"/>
        <v>2288</v>
      </c>
      <c r="S85" s="317"/>
      <c r="T85" s="317"/>
      <c r="U85" s="317"/>
      <c r="V85" s="317"/>
      <c r="W85" s="318"/>
      <c r="X85" s="318"/>
      <c r="Y85" s="318"/>
      <c r="Z85" s="318"/>
      <c r="AA85" s="319"/>
      <c r="AB85" s="320">
        <f t="shared" si="37"/>
        <v>2206</v>
      </c>
      <c r="AC85" s="301">
        <f t="shared" si="38"/>
        <v>2288</v>
      </c>
      <c r="AD85" s="321">
        <f t="shared" si="39"/>
        <v>2313</v>
      </c>
      <c r="AE85" s="321">
        <f t="shared" si="40"/>
        <v>2363</v>
      </c>
      <c r="AF85" s="321">
        <f t="shared" si="41"/>
        <v>2473</v>
      </c>
      <c r="AG85" s="321">
        <f t="shared" si="42"/>
        <v>2654</v>
      </c>
      <c r="AH85" s="321">
        <f t="shared" si="43"/>
        <v>3014</v>
      </c>
      <c r="AI85" s="321" t="e">
        <f t="shared" si="43"/>
        <v>#REF!</v>
      </c>
      <c r="AJ85" s="321" t="e">
        <f t="shared" si="43"/>
        <v>#REF!</v>
      </c>
      <c r="AK85" s="322" t="e">
        <f t="shared" si="43"/>
        <v>#REF!</v>
      </c>
      <c r="AL85" s="323" t="e">
        <f t="shared" si="43"/>
        <v>#REF!</v>
      </c>
      <c r="AM85" s="379" t="s">
        <v>477</v>
      </c>
      <c r="AO85" s="306">
        <f t="shared" si="44"/>
        <v>0</v>
      </c>
      <c r="AP85" s="306">
        <f t="shared" si="45"/>
        <v>82</v>
      </c>
      <c r="AQ85" s="306">
        <f t="shared" si="46"/>
        <v>82</v>
      </c>
      <c r="AR85" s="306">
        <f t="shared" si="47"/>
        <v>82</v>
      </c>
      <c r="AS85" s="289"/>
      <c r="AT85" s="325">
        <f t="shared" si="35"/>
        <v>82</v>
      </c>
      <c r="AU85" s="263">
        <f t="shared" si="35"/>
        <v>25</v>
      </c>
      <c r="AV85" s="263">
        <f t="shared" si="35"/>
        <v>50</v>
      </c>
      <c r="AW85" s="263">
        <f t="shared" si="35"/>
        <v>110</v>
      </c>
      <c r="AX85" s="308">
        <f t="shared" si="35"/>
        <v>181</v>
      </c>
    </row>
    <row r="86" spans="1:50" ht="15.5" x14ac:dyDescent="0.35">
      <c r="A86" s="262"/>
      <c r="B86" s="326">
        <v>3011</v>
      </c>
      <c r="C86" s="327">
        <v>43</v>
      </c>
      <c r="D86" s="328" t="s">
        <v>404</v>
      </c>
      <c r="E86" s="329">
        <v>4</v>
      </c>
      <c r="F86" s="378" t="s">
        <v>478</v>
      </c>
      <c r="G86" s="314">
        <v>1329</v>
      </c>
      <c r="H86" s="643">
        <v>1334</v>
      </c>
      <c r="I86" s="315">
        <v>1356</v>
      </c>
      <c r="J86" s="315">
        <v>1419</v>
      </c>
      <c r="K86" s="315">
        <v>1457</v>
      </c>
      <c r="L86" s="315">
        <v>1532</v>
      </c>
      <c r="M86" s="315">
        <v>1696</v>
      </c>
      <c r="N86" s="315" t="e">
        <v>#REF!</v>
      </c>
      <c r="O86" s="315" t="e">
        <v>#REF!</v>
      </c>
      <c r="P86" s="315" t="e">
        <v>#REF!</v>
      </c>
      <c r="Q86" s="316" t="e">
        <v>#REF!</v>
      </c>
      <c r="R86" s="556">
        <f t="shared" si="36"/>
        <v>1311</v>
      </c>
      <c r="S86" s="554"/>
      <c r="T86" s="317"/>
      <c r="U86" s="317"/>
      <c r="V86" s="317"/>
      <c r="W86" s="318"/>
      <c r="X86" s="318"/>
      <c r="Y86" s="318"/>
      <c r="Z86" s="318"/>
      <c r="AA86" s="319"/>
      <c r="AB86" s="320">
        <f t="shared" si="37"/>
        <v>1329</v>
      </c>
      <c r="AC86" s="301">
        <f t="shared" si="38"/>
        <v>1311</v>
      </c>
      <c r="AD86" s="321">
        <f t="shared" si="39"/>
        <v>1333</v>
      </c>
      <c r="AE86" s="321">
        <f t="shared" si="40"/>
        <v>1396</v>
      </c>
      <c r="AF86" s="321">
        <f t="shared" si="41"/>
        <v>1434</v>
      </c>
      <c r="AG86" s="321">
        <f t="shared" si="42"/>
        <v>1509</v>
      </c>
      <c r="AH86" s="321">
        <f t="shared" si="43"/>
        <v>1673</v>
      </c>
      <c r="AI86" s="321" t="e">
        <f t="shared" si="43"/>
        <v>#REF!</v>
      </c>
      <c r="AJ86" s="321" t="e">
        <f t="shared" si="43"/>
        <v>#REF!</v>
      </c>
      <c r="AK86" s="322" t="e">
        <f t="shared" si="43"/>
        <v>#REF!</v>
      </c>
      <c r="AL86" s="323" t="e">
        <f t="shared" si="43"/>
        <v>#REF!</v>
      </c>
      <c r="AM86" s="379" t="s">
        <v>478</v>
      </c>
      <c r="AO86" s="306">
        <f t="shared" si="44"/>
        <v>23</v>
      </c>
      <c r="AP86" s="306">
        <f t="shared" si="45"/>
        <v>5</v>
      </c>
      <c r="AQ86" s="306">
        <f t="shared" si="46"/>
        <v>-18</v>
      </c>
      <c r="AR86" s="306">
        <f t="shared" si="47"/>
        <v>-7</v>
      </c>
      <c r="AS86" s="289"/>
      <c r="AT86" s="325">
        <f t="shared" si="35"/>
        <v>-18</v>
      </c>
      <c r="AU86" s="263">
        <f t="shared" si="35"/>
        <v>22</v>
      </c>
      <c r="AV86" s="263">
        <f t="shared" si="35"/>
        <v>63</v>
      </c>
      <c r="AW86" s="263">
        <f t="shared" si="35"/>
        <v>38</v>
      </c>
      <c r="AX86" s="308">
        <f t="shared" si="35"/>
        <v>75</v>
      </c>
    </row>
    <row r="87" spans="1:50" ht="15.5" x14ac:dyDescent="0.35">
      <c r="A87" s="262"/>
      <c r="B87" s="290">
        <v>2311</v>
      </c>
      <c r="C87" s="380">
        <v>125</v>
      </c>
      <c r="D87" s="292" t="s">
        <v>406</v>
      </c>
      <c r="E87" s="262">
        <v>4</v>
      </c>
      <c r="F87" s="381" t="s">
        <v>479</v>
      </c>
      <c r="G87" s="314">
        <v>1865</v>
      </c>
      <c r="H87" s="643">
        <v>1849</v>
      </c>
      <c r="I87" s="315">
        <v>1874</v>
      </c>
      <c r="J87" s="315">
        <v>1899</v>
      </c>
      <c r="K87" s="315">
        <v>1924</v>
      </c>
      <c r="L87" s="315">
        <v>1949</v>
      </c>
      <c r="M87" s="315">
        <v>1992</v>
      </c>
      <c r="N87" s="315" t="e">
        <v>#REF!</v>
      </c>
      <c r="O87" s="315" t="e">
        <v>#REF!</v>
      </c>
      <c r="P87" s="315" t="e">
        <v>#REF!</v>
      </c>
      <c r="Q87" s="316" t="e">
        <v>#REF!</v>
      </c>
      <c r="R87" s="557">
        <f t="shared" si="36"/>
        <v>1849</v>
      </c>
      <c r="S87" s="317"/>
      <c r="T87" s="317"/>
      <c r="U87" s="317"/>
      <c r="V87" s="317"/>
      <c r="W87" s="318"/>
      <c r="X87" s="318"/>
      <c r="Y87" s="318"/>
      <c r="Z87" s="318"/>
      <c r="AA87" s="319"/>
      <c r="AB87" s="320">
        <f t="shared" si="37"/>
        <v>1865</v>
      </c>
      <c r="AC87" s="301">
        <f t="shared" si="38"/>
        <v>1849</v>
      </c>
      <c r="AD87" s="321">
        <f t="shared" si="39"/>
        <v>1874</v>
      </c>
      <c r="AE87" s="321">
        <f t="shared" si="40"/>
        <v>1899</v>
      </c>
      <c r="AF87" s="321">
        <f t="shared" si="41"/>
        <v>1924</v>
      </c>
      <c r="AG87" s="321">
        <f t="shared" si="42"/>
        <v>1949</v>
      </c>
      <c r="AH87" s="321">
        <f t="shared" si="43"/>
        <v>1992</v>
      </c>
      <c r="AI87" s="321" t="e">
        <f t="shared" si="43"/>
        <v>#REF!</v>
      </c>
      <c r="AJ87" s="321" t="e">
        <f t="shared" si="43"/>
        <v>#REF!</v>
      </c>
      <c r="AK87" s="322" t="e">
        <f t="shared" si="43"/>
        <v>#REF!</v>
      </c>
      <c r="AL87" s="323" t="e">
        <f t="shared" si="43"/>
        <v>#REF!</v>
      </c>
      <c r="AM87" s="382" t="s">
        <v>479</v>
      </c>
      <c r="AO87" s="306">
        <f t="shared" si="44"/>
        <v>0</v>
      </c>
      <c r="AP87" s="306">
        <f t="shared" si="45"/>
        <v>-16</v>
      </c>
      <c r="AQ87" s="306">
        <f t="shared" si="46"/>
        <v>-16</v>
      </c>
      <c r="AR87" s="306">
        <f t="shared" si="47"/>
        <v>-16</v>
      </c>
      <c r="AS87" s="289"/>
      <c r="AT87" s="325">
        <f t="shared" si="35"/>
        <v>-16</v>
      </c>
      <c r="AU87" s="263">
        <f t="shared" si="35"/>
        <v>25</v>
      </c>
      <c r="AV87" s="263">
        <f t="shared" si="35"/>
        <v>25</v>
      </c>
      <c r="AW87" s="263">
        <f t="shared" si="35"/>
        <v>25</v>
      </c>
      <c r="AX87" s="308">
        <f t="shared" si="35"/>
        <v>25</v>
      </c>
    </row>
    <row r="88" spans="1:50" ht="15.5" x14ac:dyDescent="0.35">
      <c r="A88" s="262"/>
      <c r="B88" s="309">
        <v>2011</v>
      </c>
      <c r="C88" s="310">
        <v>28</v>
      </c>
      <c r="D88" s="311" t="s">
        <v>406</v>
      </c>
      <c r="E88" s="312">
        <v>4</v>
      </c>
      <c r="F88" s="378" t="s">
        <v>480</v>
      </c>
      <c r="G88" s="314">
        <v>2246</v>
      </c>
      <c r="H88" s="643">
        <v>2200</v>
      </c>
      <c r="I88" s="315">
        <v>2178</v>
      </c>
      <c r="J88" s="315">
        <v>2175</v>
      </c>
      <c r="K88" s="315">
        <v>2198</v>
      </c>
      <c r="L88" s="315">
        <v>2163</v>
      </c>
      <c r="M88" s="315">
        <v>2271</v>
      </c>
      <c r="N88" s="315" t="e">
        <v>#REF!</v>
      </c>
      <c r="O88" s="315" t="e">
        <v>#REF!</v>
      </c>
      <c r="P88" s="315" t="e">
        <v>#REF!</v>
      </c>
      <c r="Q88" s="316" t="e">
        <v>#REF!</v>
      </c>
      <c r="R88" s="551">
        <f t="shared" si="36"/>
        <v>2247</v>
      </c>
      <c r="S88" s="317"/>
      <c r="T88" s="317"/>
      <c r="U88" s="317"/>
      <c r="V88" s="317"/>
      <c r="W88" s="318"/>
      <c r="X88" s="318"/>
      <c r="Y88" s="318"/>
      <c r="Z88" s="318"/>
      <c r="AA88" s="319"/>
      <c r="AB88" s="320">
        <f t="shared" si="37"/>
        <v>2246</v>
      </c>
      <c r="AC88" s="301">
        <f t="shared" si="38"/>
        <v>2247</v>
      </c>
      <c r="AD88" s="321">
        <f t="shared" si="39"/>
        <v>2225</v>
      </c>
      <c r="AE88" s="321">
        <f t="shared" si="40"/>
        <v>2222</v>
      </c>
      <c r="AF88" s="321">
        <f t="shared" si="41"/>
        <v>2245</v>
      </c>
      <c r="AG88" s="321">
        <f t="shared" si="42"/>
        <v>2210</v>
      </c>
      <c r="AH88" s="321">
        <f t="shared" si="43"/>
        <v>2318</v>
      </c>
      <c r="AI88" s="321" t="e">
        <f t="shared" si="43"/>
        <v>#REF!</v>
      </c>
      <c r="AJ88" s="321" t="e">
        <f t="shared" si="43"/>
        <v>#REF!</v>
      </c>
      <c r="AK88" s="322" t="e">
        <f t="shared" si="43"/>
        <v>#REF!</v>
      </c>
      <c r="AL88" s="323" t="e">
        <f t="shared" si="43"/>
        <v>#REF!</v>
      </c>
      <c r="AM88" s="379" t="s">
        <v>480</v>
      </c>
      <c r="AO88" s="306">
        <f t="shared" si="44"/>
        <v>-47</v>
      </c>
      <c r="AP88" s="306">
        <f t="shared" si="45"/>
        <v>-46</v>
      </c>
      <c r="AQ88" s="306">
        <f t="shared" si="46"/>
        <v>1</v>
      </c>
      <c r="AR88" s="306">
        <f t="shared" si="47"/>
        <v>-23</v>
      </c>
      <c r="AS88" s="289"/>
      <c r="AT88" s="325">
        <f t="shared" si="35"/>
        <v>1</v>
      </c>
      <c r="AU88" s="263">
        <f t="shared" si="35"/>
        <v>-22</v>
      </c>
      <c r="AV88" s="263">
        <f t="shared" si="35"/>
        <v>-3</v>
      </c>
      <c r="AW88" s="263">
        <f t="shared" si="35"/>
        <v>23</v>
      </c>
      <c r="AX88" s="308">
        <f t="shared" si="35"/>
        <v>-35</v>
      </c>
    </row>
    <row r="89" spans="1:50" ht="15.5" x14ac:dyDescent="0.35">
      <c r="A89" s="262"/>
      <c r="B89" s="326">
        <v>4011</v>
      </c>
      <c r="C89" s="327">
        <v>54</v>
      </c>
      <c r="D89" s="328" t="s">
        <v>408</v>
      </c>
      <c r="E89" s="329">
        <v>4</v>
      </c>
      <c r="F89" s="378" t="s">
        <v>481</v>
      </c>
      <c r="G89" s="314">
        <v>1299</v>
      </c>
      <c r="H89" s="643">
        <v>1219</v>
      </c>
      <c r="I89" s="650">
        <v>1223</v>
      </c>
      <c r="J89" s="650">
        <v>1133</v>
      </c>
      <c r="K89" s="650">
        <v>1094</v>
      </c>
      <c r="L89" s="650">
        <v>1087</v>
      </c>
      <c r="M89" s="315">
        <v>1183</v>
      </c>
      <c r="N89" s="315" t="e">
        <v>#REF!</v>
      </c>
      <c r="O89" s="315" t="e">
        <v>#REF!</v>
      </c>
      <c r="P89" s="315" t="e">
        <v>#REF!</v>
      </c>
      <c r="Q89" s="316" t="e">
        <v>#REF!</v>
      </c>
      <c r="R89" s="551">
        <f t="shared" si="36"/>
        <v>1287</v>
      </c>
      <c r="S89" s="317"/>
      <c r="T89" s="317"/>
      <c r="U89" s="317"/>
      <c r="V89" s="317"/>
      <c r="W89" s="318"/>
      <c r="X89" s="318"/>
      <c r="Y89" s="318"/>
      <c r="Z89" s="318"/>
      <c r="AA89" s="319"/>
      <c r="AB89" s="320">
        <f t="shared" si="37"/>
        <v>1299</v>
      </c>
      <c r="AC89" s="301">
        <f t="shared" si="38"/>
        <v>1287</v>
      </c>
      <c r="AD89" s="321">
        <f t="shared" si="39"/>
        <v>1291</v>
      </c>
      <c r="AE89" s="321">
        <f t="shared" si="40"/>
        <v>1201</v>
      </c>
      <c r="AF89" s="321">
        <f t="shared" si="41"/>
        <v>1162</v>
      </c>
      <c r="AG89" s="321">
        <f t="shared" si="42"/>
        <v>1155</v>
      </c>
      <c r="AH89" s="321">
        <f t="shared" si="43"/>
        <v>1251</v>
      </c>
      <c r="AI89" s="321" t="e">
        <f t="shared" si="43"/>
        <v>#REF!</v>
      </c>
      <c r="AJ89" s="321" t="e">
        <f t="shared" si="43"/>
        <v>#REF!</v>
      </c>
      <c r="AK89" s="322" t="e">
        <f t="shared" si="43"/>
        <v>#REF!</v>
      </c>
      <c r="AL89" s="323" t="e">
        <f t="shared" si="43"/>
        <v>#REF!</v>
      </c>
      <c r="AM89" s="379" t="s">
        <v>481</v>
      </c>
      <c r="AO89" s="306">
        <f t="shared" si="44"/>
        <v>-68</v>
      </c>
      <c r="AP89" s="306">
        <f t="shared" si="45"/>
        <v>-80</v>
      </c>
      <c r="AQ89" s="306">
        <f t="shared" si="46"/>
        <v>-12</v>
      </c>
      <c r="AR89" s="306">
        <f t="shared" si="47"/>
        <v>-46</v>
      </c>
      <c r="AS89" s="289"/>
      <c r="AT89" s="325">
        <f t="shared" si="35"/>
        <v>-12</v>
      </c>
      <c r="AU89" s="263">
        <f t="shared" si="35"/>
        <v>4</v>
      </c>
      <c r="AV89" s="263">
        <f t="shared" si="35"/>
        <v>-90</v>
      </c>
      <c r="AW89" s="263">
        <f t="shared" si="35"/>
        <v>-39</v>
      </c>
      <c r="AX89" s="308">
        <f t="shared" si="35"/>
        <v>-7</v>
      </c>
    </row>
    <row r="90" spans="1:50" ht="15.5" x14ac:dyDescent="0.35">
      <c r="A90" s="262"/>
      <c r="B90" s="290">
        <v>2021</v>
      </c>
      <c r="C90" s="291">
        <v>29</v>
      </c>
      <c r="D90" s="292" t="s">
        <v>406</v>
      </c>
      <c r="E90" s="262">
        <v>4</v>
      </c>
      <c r="F90" s="378" t="s">
        <v>390</v>
      </c>
      <c r="G90" s="314">
        <v>1296</v>
      </c>
      <c r="H90" s="643">
        <v>1291</v>
      </c>
      <c r="I90" s="315">
        <v>1271</v>
      </c>
      <c r="J90" s="315">
        <v>1281</v>
      </c>
      <c r="K90" s="315">
        <v>1344</v>
      </c>
      <c r="L90" s="315">
        <v>1384</v>
      </c>
      <c r="M90" s="315">
        <v>1635</v>
      </c>
      <c r="N90" s="315" t="e">
        <v>#REF!</v>
      </c>
      <c r="O90" s="315" t="e">
        <v>#REF!</v>
      </c>
      <c r="P90" s="315" t="e">
        <v>#REF!</v>
      </c>
      <c r="Q90" s="316" t="e">
        <v>#REF!</v>
      </c>
      <c r="R90" s="551">
        <f t="shared" si="36"/>
        <v>1291</v>
      </c>
      <c r="S90" s="317"/>
      <c r="T90" s="317"/>
      <c r="U90" s="317"/>
      <c r="V90" s="317"/>
      <c r="W90" s="318"/>
      <c r="X90" s="318"/>
      <c r="Y90" s="318"/>
      <c r="Z90" s="318"/>
      <c r="AA90" s="319"/>
      <c r="AB90" s="320">
        <f t="shared" si="37"/>
        <v>1296</v>
      </c>
      <c r="AC90" s="301">
        <f t="shared" si="38"/>
        <v>1291</v>
      </c>
      <c r="AD90" s="321">
        <f t="shared" si="39"/>
        <v>1271</v>
      </c>
      <c r="AE90" s="321">
        <f t="shared" si="40"/>
        <v>1281</v>
      </c>
      <c r="AF90" s="321">
        <f t="shared" si="41"/>
        <v>1344</v>
      </c>
      <c r="AG90" s="321">
        <f t="shared" si="42"/>
        <v>1384</v>
      </c>
      <c r="AH90" s="321">
        <f t="shared" si="43"/>
        <v>1635</v>
      </c>
      <c r="AI90" s="321" t="e">
        <f t="shared" si="43"/>
        <v>#REF!</v>
      </c>
      <c r="AJ90" s="321" t="e">
        <f t="shared" si="43"/>
        <v>#REF!</v>
      </c>
      <c r="AK90" s="322" t="e">
        <f t="shared" si="43"/>
        <v>#REF!</v>
      </c>
      <c r="AL90" s="323" t="e">
        <f t="shared" si="43"/>
        <v>#REF!</v>
      </c>
      <c r="AM90" s="379" t="s">
        <v>390</v>
      </c>
      <c r="AO90" s="306">
        <f t="shared" si="44"/>
        <v>0</v>
      </c>
      <c r="AP90" s="306">
        <f t="shared" si="45"/>
        <v>-5</v>
      </c>
      <c r="AQ90" s="306">
        <f t="shared" si="46"/>
        <v>-5</v>
      </c>
      <c r="AR90" s="306">
        <f t="shared" si="47"/>
        <v>-5</v>
      </c>
      <c r="AS90" s="289"/>
      <c r="AT90" s="325">
        <f t="shared" si="35"/>
        <v>-5</v>
      </c>
      <c r="AU90" s="263">
        <f t="shared" si="35"/>
        <v>-20</v>
      </c>
      <c r="AV90" s="263">
        <f t="shared" si="35"/>
        <v>10</v>
      </c>
      <c r="AW90" s="263">
        <f t="shared" si="35"/>
        <v>63</v>
      </c>
      <c r="AX90" s="308">
        <f t="shared" si="35"/>
        <v>40</v>
      </c>
    </row>
    <row r="91" spans="1:50" ht="15.5" x14ac:dyDescent="0.35">
      <c r="A91" s="262"/>
      <c r="B91" s="309">
        <v>1011</v>
      </c>
      <c r="C91" s="310">
        <v>16</v>
      </c>
      <c r="D91" s="311" t="s">
        <v>404</v>
      </c>
      <c r="E91" s="312">
        <v>4</v>
      </c>
      <c r="F91" s="378" t="s">
        <v>482</v>
      </c>
      <c r="G91" s="314">
        <v>1533</v>
      </c>
      <c r="H91" s="643">
        <v>1529</v>
      </c>
      <c r="I91" s="315">
        <v>1470</v>
      </c>
      <c r="J91" s="315">
        <v>1437</v>
      </c>
      <c r="K91" s="315">
        <v>1438</v>
      </c>
      <c r="L91" s="315">
        <v>1437</v>
      </c>
      <c r="M91" s="315">
        <v>1599</v>
      </c>
      <c r="N91" s="315" t="e">
        <v>#REF!</v>
      </c>
      <c r="O91" s="315" t="e">
        <v>#REF!</v>
      </c>
      <c r="P91" s="315" t="e">
        <v>#REF!</v>
      </c>
      <c r="Q91" s="316" t="e">
        <v>#REF!</v>
      </c>
      <c r="R91" s="551">
        <f t="shared" si="36"/>
        <v>1529</v>
      </c>
      <c r="S91" s="317"/>
      <c r="T91" s="317"/>
      <c r="U91" s="317"/>
      <c r="V91" s="317"/>
      <c r="W91" s="318"/>
      <c r="X91" s="318"/>
      <c r="Y91" s="318"/>
      <c r="Z91" s="318"/>
      <c r="AA91" s="319"/>
      <c r="AB91" s="320">
        <f t="shared" si="37"/>
        <v>1533</v>
      </c>
      <c r="AC91" s="301">
        <f t="shared" si="38"/>
        <v>1529</v>
      </c>
      <c r="AD91" s="321">
        <f t="shared" si="39"/>
        <v>1470</v>
      </c>
      <c r="AE91" s="321">
        <f t="shared" si="40"/>
        <v>1437</v>
      </c>
      <c r="AF91" s="321">
        <f t="shared" si="41"/>
        <v>1438</v>
      </c>
      <c r="AG91" s="321">
        <f t="shared" si="42"/>
        <v>1437</v>
      </c>
      <c r="AH91" s="321">
        <f t="shared" si="43"/>
        <v>1599</v>
      </c>
      <c r="AI91" s="321" t="e">
        <f t="shared" si="43"/>
        <v>#REF!</v>
      </c>
      <c r="AJ91" s="321" t="e">
        <f t="shared" si="43"/>
        <v>#REF!</v>
      </c>
      <c r="AK91" s="322" t="e">
        <f t="shared" si="43"/>
        <v>#REF!</v>
      </c>
      <c r="AL91" s="323" t="e">
        <f t="shared" si="43"/>
        <v>#REF!</v>
      </c>
      <c r="AM91" s="379" t="s">
        <v>482</v>
      </c>
      <c r="AO91" s="306">
        <f t="shared" si="44"/>
        <v>0</v>
      </c>
      <c r="AP91" s="306">
        <f t="shared" si="45"/>
        <v>-4</v>
      </c>
      <c r="AQ91" s="306">
        <f t="shared" si="46"/>
        <v>-4</v>
      </c>
      <c r="AR91" s="306">
        <f t="shared" si="47"/>
        <v>-4</v>
      </c>
      <c r="AS91" s="289"/>
      <c r="AT91" s="325">
        <f t="shared" si="35"/>
        <v>-4</v>
      </c>
      <c r="AU91" s="263">
        <f t="shared" si="35"/>
        <v>-59</v>
      </c>
      <c r="AV91" s="263">
        <f t="shared" si="35"/>
        <v>-33</v>
      </c>
      <c r="AW91" s="263">
        <f t="shared" si="35"/>
        <v>1</v>
      </c>
      <c r="AX91" s="308">
        <f t="shared" si="35"/>
        <v>-1</v>
      </c>
    </row>
    <row r="92" spans="1:50" ht="15.5" x14ac:dyDescent="0.35">
      <c r="A92" s="262"/>
      <c r="B92" s="326">
        <v>6011</v>
      </c>
      <c r="C92" s="327">
        <v>66</v>
      </c>
      <c r="D92" s="328" t="s">
        <v>404</v>
      </c>
      <c r="E92" s="329">
        <v>4</v>
      </c>
      <c r="F92" s="378" t="s">
        <v>483</v>
      </c>
      <c r="G92" s="314">
        <v>1460</v>
      </c>
      <c r="H92" s="643">
        <v>1404</v>
      </c>
      <c r="I92" s="315">
        <v>1304</v>
      </c>
      <c r="J92" s="315">
        <v>1282</v>
      </c>
      <c r="K92" s="315">
        <v>1199</v>
      </c>
      <c r="L92" s="315">
        <v>1162</v>
      </c>
      <c r="M92" s="315">
        <v>1206</v>
      </c>
      <c r="N92" s="315" t="e">
        <v>#REF!</v>
      </c>
      <c r="O92" s="315" t="e">
        <v>#REF!</v>
      </c>
      <c r="P92" s="315" t="e">
        <v>#REF!</v>
      </c>
      <c r="Q92" s="316" t="e">
        <v>#REF!</v>
      </c>
      <c r="R92" s="551">
        <f t="shared" si="36"/>
        <v>1408</v>
      </c>
      <c r="S92" s="317"/>
      <c r="T92" s="317"/>
      <c r="U92" s="317"/>
      <c r="V92" s="317"/>
      <c r="W92" s="318"/>
      <c r="X92" s="318"/>
      <c r="Y92" s="318"/>
      <c r="Z92" s="318"/>
      <c r="AA92" s="319"/>
      <c r="AB92" s="320">
        <f t="shared" si="37"/>
        <v>1460</v>
      </c>
      <c r="AC92" s="301">
        <f t="shared" si="38"/>
        <v>1408</v>
      </c>
      <c r="AD92" s="321">
        <f t="shared" si="39"/>
        <v>1308</v>
      </c>
      <c r="AE92" s="321">
        <f t="shared" si="40"/>
        <v>1286</v>
      </c>
      <c r="AF92" s="321">
        <f t="shared" si="41"/>
        <v>1203</v>
      </c>
      <c r="AG92" s="321">
        <f t="shared" si="42"/>
        <v>1166</v>
      </c>
      <c r="AH92" s="321">
        <f t="shared" ref="AH92:AL94" si="67">(M92-L92)+AG92</f>
        <v>1210</v>
      </c>
      <c r="AI92" s="321" t="e">
        <f t="shared" si="67"/>
        <v>#REF!</v>
      </c>
      <c r="AJ92" s="321" t="e">
        <f t="shared" si="67"/>
        <v>#REF!</v>
      </c>
      <c r="AK92" s="322" t="e">
        <f t="shared" si="67"/>
        <v>#REF!</v>
      </c>
      <c r="AL92" s="323" t="e">
        <f t="shared" si="67"/>
        <v>#REF!</v>
      </c>
      <c r="AM92" s="379" t="s">
        <v>483</v>
      </c>
      <c r="AO92" s="306">
        <f t="shared" si="44"/>
        <v>-4</v>
      </c>
      <c r="AP92" s="306">
        <f t="shared" si="45"/>
        <v>-56</v>
      </c>
      <c r="AQ92" s="306">
        <f t="shared" si="46"/>
        <v>-52</v>
      </c>
      <c r="AR92" s="306">
        <f t="shared" si="47"/>
        <v>-54</v>
      </c>
      <c r="AS92" s="289"/>
      <c r="AT92" s="325">
        <f t="shared" si="35"/>
        <v>-52</v>
      </c>
      <c r="AU92" s="263">
        <f t="shared" si="35"/>
        <v>-100</v>
      </c>
      <c r="AV92" s="263">
        <f t="shared" si="35"/>
        <v>-22</v>
      </c>
      <c r="AW92" s="263">
        <f t="shared" si="35"/>
        <v>-83</v>
      </c>
      <c r="AX92" s="308">
        <f t="shared" si="35"/>
        <v>-37</v>
      </c>
    </row>
    <row r="93" spans="1:50" ht="15.5" x14ac:dyDescent="0.35">
      <c r="A93" s="262"/>
      <c r="B93" s="290">
        <v>11</v>
      </c>
      <c r="C93" s="291">
        <v>1</v>
      </c>
      <c r="D93" s="292" t="s">
        <v>408</v>
      </c>
      <c r="E93" s="262">
        <v>4</v>
      </c>
      <c r="F93" s="378" t="s">
        <v>484</v>
      </c>
      <c r="G93" s="314">
        <v>1306</v>
      </c>
      <c r="H93" s="643">
        <v>1235</v>
      </c>
      <c r="I93" s="315">
        <v>1143</v>
      </c>
      <c r="J93" s="315">
        <v>1115</v>
      </c>
      <c r="K93" s="315">
        <v>1085</v>
      </c>
      <c r="L93" s="315">
        <v>1063</v>
      </c>
      <c r="M93" s="315">
        <v>1059</v>
      </c>
      <c r="N93" s="315" t="e">
        <v>#REF!</v>
      </c>
      <c r="O93" s="315" t="e">
        <v>#REF!</v>
      </c>
      <c r="P93" s="315" t="e">
        <v>#REF!</v>
      </c>
      <c r="Q93" s="316" t="e">
        <v>#REF!</v>
      </c>
      <c r="R93" s="551">
        <f t="shared" si="36"/>
        <v>1300</v>
      </c>
      <c r="S93" s="317"/>
      <c r="T93" s="317"/>
      <c r="U93" s="317"/>
      <c r="V93" s="317"/>
      <c r="W93" s="318"/>
      <c r="X93" s="318"/>
      <c r="Y93" s="318"/>
      <c r="Z93" s="318"/>
      <c r="AA93" s="319"/>
      <c r="AB93" s="320">
        <f t="shared" si="37"/>
        <v>1306</v>
      </c>
      <c r="AC93" s="301">
        <f t="shared" si="38"/>
        <v>1300</v>
      </c>
      <c r="AD93" s="321">
        <f t="shared" si="39"/>
        <v>1208</v>
      </c>
      <c r="AE93" s="321">
        <f t="shared" si="40"/>
        <v>1180</v>
      </c>
      <c r="AF93" s="321">
        <f t="shared" si="41"/>
        <v>1150</v>
      </c>
      <c r="AG93" s="321">
        <f t="shared" si="42"/>
        <v>1128</v>
      </c>
      <c r="AH93" s="321">
        <f t="shared" si="67"/>
        <v>1124</v>
      </c>
      <c r="AI93" s="321" t="e">
        <f t="shared" si="67"/>
        <v>#REF!</v>
      </c>
      <c r="AJ93" s="321" t="e">
        <f t="shared" si="67"/>
        <v>#REF!</v>
      </c>
      <c r="AK93" s="322" t="e">
        <f t="shared" si="67"/>
        <v>#REF!</v>
      </c>
      <c r="AL93" s="323" t="e">
        <f t="shared" si="67"/>
        <v>#REF!</v>
      </c>
      <c r="AM93" s="379" t="s">
        <v>484</v>
      </c>
      <c r="AO93" s="306">
        <f t="shared" si="44"/>
        <v>-65</v>
      </c>
      <c r="AP93" s="306">
        <f t="shared" si="45"/>
        <v>-71</v>
      </c>
      <c r="AQ93" s="306">
        <f t="shared" si="46"/>
        <v>-6</v>
      </c>
      <c r="AR93" s="306">
        <f t="shared" si="47"/>
        <v>-39</v>
      </c>
      <c r="AS93" s="289"/>
      <c r="AT93" s="325">
        <f t="shared" si="35"/>
        <v>-6</v>
      </c>
      <c r="AU93" s="263">
        <f t="shared" si="35"/>
        <v>-92</v>
      </c>
      <c r="AV93" s="263">
        <f t="shared" si="35"/>
        <v>-28</v>
      </c>
      <c r="AW93" s="263">
        <f t="shared" si="35"/>
        <v>-30</v>
      </c>
      <c r="AX93" s="308">
        <f t="shared" si="35"/>
        <v>-22</v>
      </c>
    </row>
    <row r="94" spans="1:50" ht="16" thickBot="1" x14ac:dyDescent="0.4">
      <c r="A94" s="262"/>
      <c r="B94" s="383">
        <v>1171</v>
      </c>
      <c r="C94" s="384">
        <v>115</v>
      </c>
      <c r="D94" s="385" t="s">
        <v>404</v>
      </c>
      <c r="E94" s="265">
        <v>4</v>
      </c>
      <c r="F94" s="386" t="s">
        <v>485</v>
      </c>
      <c r="G94" s="348">
        <v>2275</v>
      </c>
      <c r="H94" s="644">
        <v>2255</v>
      </c>
      <c r="I94" s="349">
        <v>2224</v>
      </c>
      <c r="J94" s="349">
        <v>2234</v>
      </c>
      <c r="K94" s="349">
        <v>2222</v>
      </c>
      <c r="L94" s="349">
        <v>2148</v>
      </c>
      <c r="M94" s="349">
        <v>2254</v>
      </c>
      <c r="N94" s="349" t="e">
        <v>#REF!</v>
      </c>
      <c r="O94" s="349" t="e">
        <v>#REF!</v>
      </c>
      <c r="P94" s="349" t="e">
        <v>#REF!</v>
      </c>
      <c r="Q94" s="350" t="e">
        <v>#REF!</v>
      </c>
      <c r="R94" s="553">
        <f t="shared" si="36"/>
        <v>2255</v>
      </c>
      <c r="S94" s="352"/>
      <c r="T94" s="352"/>
      <c r="U94" s="352"/>
      <c r="V94" s="352"/>
      <c r="W94" s="353"/>
      <c r="X94" s="353"/>
      <c r="Y94" s="353"/>
      <c r="Z94" s="353"/>
      <c r="AA94" s="354"/>
      <c r="AB94" s="355">
        <f t="shared" si="37"/>
        <v>2275</v>
      </c>
      <c r="AC94" s="351">
        <f t="shared" si="38"/>
        <v>2255</v>
      </c>
      <c r="AD94" s="356">
        <f t="shared" si="39"/>
        <v>2224</v>
      </c>
      <c r="AE94" s="356">
        <f t="shared" si="40"/>
        <v>2234</v>
      </c>
      <c r="AF94" s="356">
        <f t="shared" si="41"/>
        <v>2222</v>
      </c>
      <c r="AG94" s="356">
        <f t="shared" si="42"/>
        <v>2148</v>
      </c>
      <c r="AH94" s="356">
        <f t="shared" si="67"/>
        <v>2254</v>
      </c>
      <c r="AI94" s="356" t="e">
        <f t="shared" si="67"/>
        <v>#REF!</v>
      </c>
      <c r="AJ94" s="356" t="e">
        <f t="shared" si="67"/>
        <v>#REF!</v>
      </c>
      <c r="AK94" s="357" t="e">
        <f t="shared" si="67"/>
        <v>#REF!</v>
      </c>
      <c r="AL94" s="358" t="e">
        <f t="shared" si="67"/>
        <v>#REF!</v>
      </c>
      <c r="AM94" s="387" t="s">
        <v>485</v>
      </c>
      <c r="AO94" s="360">
        <f>H94-R94</f>
        <v>0</v>
      </c>
      <c r="AP94" s="360">
        <f t="shared" si="45"/>
        <v>-20</v>
      </c>
      <c r="AQ94" s="360">
        <f t="shared" si="46"/>
        <v>-20</v>
      </c>
      <c r="AR94" s="360">
        <f t="shared" si="47"/>
        <v>-20</v>
      </c>
      <c r="AS94" s="289"/>
      <c r="AT94" s="361">
        <f>AC94-AB94</f>
        <v>-20</v>
      </c>
      <c r="AU94" s="362">
        <f t="shared" si="35"/>
        <v>-31</v>
      </c>
      <c r="AV94" s="362">
        <f t="shared" si="35"/>
        <v>10</v>
      </c>
      <c r="AW94" s="362">
        <f t="shared" si="35"/>
        <v>-12</v>
      </c>
      <c r="AX94" s="363">
        <f t="shared" si="35"/>
        <v>-74</v>
      </c>
    </row>
    <row r="95" spans="1:50" ht="15" thickBot="1" x14ac:dyDescent="0.4">
      <c r="A95" s="262"/>
      <c r="B95" s="262"/>
      <c r="C95" s="262"/>
      <c r="D95" s="262"/>
      <c r="E95" s="262"/>
      <c r="F95" s="388" t="s">
        <v>395</v>
      </c>
      <c r="G95" s="389">
        <f t="shared" ref="G95:R95" si="68">SUM(G10:G94)</f>
        <v>61412</v>
      </c>
      <c r="H95" s="390">
        <f t="shared" si="68"/>
        <v>60616</v>
      </c>
      <c r="I95" s="391">
        <f t="shared" si="68"/>
        <v>60195</v>
      </c>
      <c r="J95" s="391">
        <f t="shared" si="68"/>
        <v>60003</v>
      </c>
      <c r="K95" s="391">
        <f t="shared" si="68"/>
        <v>59784</v>
      </c>
      <c r="L95" s="391">
        <f t="shared" si="68"/>
        <v>59734</v>
      </c>
      <c r="M95" s="391" t="e">
        <f t="shared" si="68"/>
        <v>#REF!</v>
      </c>
      <c r="N95" s="392" t="e">
        <f t="shared" si="68"/>
        <v>#REF!</v>
      </c>
      <c r="O95" s="392" t="e">
        <f t="shared" si="68"/>
        <v>#REF!</v>
      </c>
      <c r="P95" s="392" t="e">
        <f t="shared" si="68"/>
        <v>#REF!</v>
      </c>
      <c r="Q95" s="392" t="e">
        <f t="shared" si="68"/>
        <v>#REF!</v>
      </c>
      <c r="R95" s="390">
        <f t="shared" si="68"/>
        <v>60434</v>
      </c>
      <c r="S95" s="393"/>
      <c r="T95" s="393"/>
      <c r="U95" s="393"/>
      <c r="V95" s="393"/>
      <c r="W95" s="391">
        <f t="shared" ref="W95:AL95" si="69">SUM(W10:W94)</f>
        <v>0</v>
      </c>
      <c r="X95" s="392">
        <f t="shared" si="69"/>
        <v>0</v>
      </c>
      <c r="Y95" s="392">
        <f t="shared" si="69"/>
        <v>0</v>
      </c>
      <c r="Z95" s="392">
        <f t="shared" si="69"/>
        <v>0</v>
      </c>
      <c r="AA95" s="392">
        <f t="shared" si="69"/>
        <v>0</v>
      </c>
      <c r="AB95" s="394">
        <f t="shared" si="69"/>
        <v>61412</v>
      </c>
      <c r="AC95" s="395">
        <f t="shared" si="69"/>
        <v>60434</v>
      </c>
      <c r="AD95" s="396">
        <f t="shared" si="69"/>
        <v>60013</v>
      </c>
      <c r="AE95" s="397">
        <f t="shared" si="69"/>
        <v>59821</v>
      </c>
      <c r="AF95" s="397">
        <f t="shared" si="69"/>
        <v>59602</v>
      </c>
      <c r="AG95" s="397">
        <f t="shared" si="69"/>
        <v>59552</v>
      </c>
      <c r="AH95" s="397" t="e">
        <f t="shared" si="69"/>
        <v>#REF!</v>
      </c>
      <c r="AI95" s="397" t="e">
        <f t="shared" si="69"/>
        <v>#REF!</v>
      </c>
      <c r="AJ95" s="397" t="e">
        <f t="shared" si="69"/>
        <v>#REF!</v>
      </c>
      <c r="AK95" s="398" t="e">
        <f t="shared" si="69"/>
        <v>#REF!</v>
      </c>
      <c r="AL95" s="399" t="e">
        <f t="shared" si="69"/>
        <v>#REF!</v>
      </c>
      <c r="AM95" s="400" t="s">
        <v>395</v>
      </c>
      <c r="AO95" s="288">
        <f>SUM(AO10:AO94)</f>
        <v>182</v>
      </c>
      <c r="AP95" s="288">
        <f>SUM(AP10:AP94)</f>
        <v>-796</v>
      </c>
      <c r="AQ95" s="288">
        <f>SUM(AQ10:AQ94)</f>
        <v>-978</v>
      </c>
      <c r="AR95" s="288">
        <f>SUM(AR10:AR94)</f>
        <v>-895</v>
      </c>
      <c r="AS95" s="289"/>
      <c r="AT95" s="289"/>
    </row>
    <row r="96" spans="1:50" ht="25.5" thickBot="1" x14ac:dyDescent="0.4">
      <c r="A96" s="262"/>
      <c r="B96" s="262"/>
      <c r="C96" s="262"/>
      <c r="D96" s="262"/>
      <c r="E96" s="262" t="s">
        <v>810</v>
      </c>
      <c r="F96" s="401"/>
      <c r="G96" s="402" t="s">
        <v>486</v>
      </c>
      <c r="H96" s="403">
        <f>H95-G95</f>
        <v>-796</v>
      </c>
      <c r="I96" s="404">
        <f>I95-H95</f>
        <v>-421</v>
      </c>
      <c r="J96" s="404">
        <f>J95-I95</f>
        <v>-192</v>
      </c>
      <c r="K96" s="404">
        <f>K95-J95</f>
        <v>-219</v>
      </c>
      <c r="L96" s="404">
        <f>L95-K95</f>
        <v>-50</v>
      </c>
      <c r="M96" s="404" t="e">
        <f t="shared" ref="M96:Q96" si="70">M95-L95</f>
        <v>#REF!</v>
      </c>
      <c r="N96" s="404" t="e">
        <f t="shared" si="70"/>
        <v>#REF!</v>
      </c>
      <c r="O96" s="404" t="e">
        <f t="shared" si="70"/>
        <v>#REF!</v>
      </c>
      <c r="P96" s="404" t="e">
        <f t="shared" si="70"/>
        <v>#REF!</v>
      </c>
      <c r="Q96" s="405" t="e">
        <f t="shared" si="70"/>
        <v>#REF!</v>
      </c>
      <c r="R96" s="403">
        <f>R95-G95</f>
        <v>-978</v>
      </c>
      <c r="S96" s="404">
        <f>S95-R95</f>
        <v>-60434</v>
      </c>
      <c r="T96" s="404">
        <f>T95-S95</f>
        <v>0</v>
      </c>
      <c r="U96" s="404">
        <f>U95-T95</f>
        <v>0</v>
      </c>
      <c r="V96" s="404">
        <f t="shared" ref="V96:AA96" si="71">V95-U95</f>
        <v>0</v>
      </c>
      <c r="W96" s="404">
        <f t="shared" si="71"/>
        <v>0</v>
      </c>
      <c r="X96" s="404">
        <f t="shared" si="71"/>
        <v>0</v>
      </c>
      <c r="Y96" s="404">
        <f t="shared" si="71"/>
        <v>0</v>
      </c>
      <c r="Z96" s="404">
        <f t="shared" si="71"/>
        <v>0</v>
      </c>
      <c r="AA96" s="405">
        <f t="shared" si="71"/>
        <v>0</v>
      </c>
      <c r="AB96" s="406" t="s">
        <v>487</v>
      </c>
      <c r="AC96" s="404">
        <f>AC95-AB95</f>
        <v>-978</v>
      </c>
      <c r="AD96" s="404">
        <f>AD95-AC95</f>
        <v>-421</v>
      </c>
      <c r="AE96" s="404">
        <f t="shared" ref="AE96:AL96" si="72">AE95-AD95</f>
        <v>-192</v>
      </c>
      <c r="AF96" s="404">
        <f t="shared" si="72"/>
        <v>-219</v>
      </c>
      <c r="AG96" s="405">
        <f t="shared" si="72"/>
        <v>-50</v>
      </c>
      <c r="AH96" s="407" t="e">
        <f t="shared" si="72"/>
        <v>#REF!</v>
      </c>
      <c r="AI96" s="407" t="e">
        <f t="shared" si="72"/>
        <v>#REF!</v>
      </c>
      <c r="AJ96" s="407" t="e">
        <f t="shared" si="72"/>
        <v>#REF!</v>
      </c>
      <c r="AK96" s="407" t="e">
        <f t="shared" si="72"/>
        <v>#REF!</v>
      </c>
      <c r="AL96" s="407" t="e">
        <f t="shared" si="72"/>
        <v>#REF!</v>
      </c>
      <c r="AM96" s="401"/>
      <c r="AN96" s="408" t="s">
        <v>488</v>
      </c>
      <c r="AO96" s="409">
        <f>SUM(AO10:AO66)</f>
        <v>327</v>
      </c>
      <c r="AP96" s="409">
        <f>SUM(AP10:AP66)</f>
        <v>-274</v>
      </c>
      <c r="AQ96" s="409">
        <f>SUM(AQ10:AQ66)</f>
        <v>-601</v>
      </c>
      <c r="AR96" s="409">
        <f>SUM(AR10:AR66)</f>
        <v>-442</v>
      </c>
      <c r="AS96" s="410"/>
      <c r="AT96" s="410"/>
    </row>
    <row r="97" spans="1:49" ht="15.75" customHeight="1" thickBot="1" x14ac:dyDescent="0.4">
      <c r="A97" s="262"/>
      <c r="B97" s="262"/>
      <c r="C97" s="262"/>
      <c r="D97" s="262"/>
      <c r="E97" s="657" t="s">
        <v>809</v>
      </c>
      <c r="F97" s="652" t="s">
        <v>808</v>
      </c>
      <c r="G97" s="402"/>
      <c r="H97" s="407"/>
      <c r="I97" s="407"/>
      <c r="J97" s="690" t="s">
        <v>489</v>
      </c>
      <c r="K97" s="691"/>
      <c r="L97" s="411">
        <f>L95-H95</f>
        <v>-882</v>
      </c>
      <c r="M97" s="407"/>
      <c r="N97" s="407"/>
      <c r="O97" s="407"/>
      <c r="P97" s="407"/>
      <c r="Q97" s="407"/>
      <c r="R97" s="407"/>
      <c r="S97" s="407"/>
      <c r="T97" s="690" t="s">
        <v>489</v>
      </c>
      <c r="U97" s="691"/>
      <c r="V97" s="411">
        <f>V95-R95</f>
        <v>-60434</v>
      </c>
      <c r="W97" s="407"/>
      <c r="X97" s="407"/>
      <c r="Y97" s="407"/>
      <c r="Z97" s="407"/>
      <c r="AA97" s="407"/>
      <c r="AB97" s="407"/>
      <c r="AC97" s="407"/>
      <c r="AD97" s="407"/>
      <c r="AE97" s="690" t="s">
        <v>489</v>
      </c>
      <c r="AF97" s="691"/>
      <c r="AG97" s="411">
        <f>AG95-AC95</f>
        <v>-882</v>
      </c>
      <c r="AH97" s="407"/>
      <c r="AI97" s="407"/>
      <c r="AJ97" s="407"/>
      <c r="AK97" s="407"/>
      <c r="AL97" s="407"/>
      <c r="AM97" s="401"/>
      <c r="AN97" s="412" t="s">
        <v>490</v>
      </c>
      <c r="AO97" s="413">
        <f>SUM(AO67:AO77)</f>
        <v>17</v>
      </c>
      <c r="AP97" s="413">
        <f t="shared" ref="AP97:AR97" si="73">SUM(AP67:AP77)</f>
        <v>-217</v>
      </c>
      <c r="AQ97" s="413">
        <f t="shared" si="73"/>
        <v>-234</v>
      </c>
      <c r="AR97" s="413">
        <f t="shared" si="73"/>
        <v>-227</v>
      </c>
      <c r="AS97" s="410"/>
      <c r="AT97" s="410"/>
    </row>
    <row r="98" spans="1:49" ht="15.75" customHeight="1" thickBot="1" x14ac:dyDescent="0.4">
      <c r="A98" s="262"/>
      <c r="B98" s="262"/>
      <c r="C98" s="262"/>
      <c r="D98" s="262"/>
      <c r="E98" s="262"/>
      <c r="F98" s="653" t="s">
        <v>806</v>
      </c>
      <c r="G98" s="402"/>
      <c r="H98" s="407"/>
      <c r="I98" s="407"/>
      <c r="J98" s="414"/>
      <c r="K98" s="414"/>
      <c r="L98" s="407"/>
      <c r="M98" s="407"/>
      <c r="N98" s="407"/>
      <c r="O98" s="407"/>
      <c r="P98" s="407"/>
      <c r="Q98" s="407"/>
      <c r="R98" s="407"/>
      <c r="S98" s="407"/>
      <c r="T98" s="414"/>
      <c r="U98" s="414"/>
      <c r="V98" s="407"/>
      <c r="W98" s="407"/>
      <c r="X98" s="407"/>
      <c r="Y98" s="407"/>
      <c r="Z98" s="407"/>
      <c r="AA98" s="407"/>
      <c r="AB98" s="407"/>
      <c r="AC98" s="407"/>
      <c r="AD98" s="407"/>
      <c r="AE98" s="414"/>
      <c r="AF98" s="414"/>
      <c r="AG98" s="407"/>
      <c r="AH98" s="407"/>
      <c r="AI98" s="407"/>
      <c r="AJ98" s="407"/>
      <c r="AK98" s="407"/>
      <c r="AL98" s="407"/>
      <c r="AM98" s="401"/>
      <c r="AN98" s="415" t="s">
        <v>491</v>
      </c>
      <c r="AO98" s="416">
        <f>SUM(AO79:AO83)</f>
        <v>-1</v>
      </c>
      <c r="AP98" s="416">
        <f t="shared" ref="AP98:AR98" si="74">SUM(AP79:AP83)</f>
        <v>-128</v>
      </c>
      <c r="AQ98" s="416">
        <f t="shared" si="74"/>
        <v>-127</v>
      </c>
      <c r="AR98" s="416">
        <f t="shared" si="74"/>
        <v>-128</v>
      </c>
      <c r="AS98" s="410"/>
      <c r="AT98" s="410"/>
      <c r="AW98" s="646"/>
    </row>
    <row r="99" spans="1:49" ht="15.75" customHeight="1" thickBot="1" x14ac:dyDescent="0.4">
      <c r="A99" s="262"/>
      <c r="B99" s="262"/>
      <c r="C99" s="262"/>
      <c r="D99" s="262"/>
      <c r="E99" s="262"/>
      <c r="F99" s="654" t="s">
        <v>807</v>
      </c>
      <c r="G99" s="402"/>
      <c r="H99" s="407"/>
      <c r="I99" s="407"/>
      <c r="J99" s="407"/>
      <c r="K99" s="407"/>
      <c r="L99" s="407"/>
      <c r="M99" s="407"/>
      <c r="N99" s="407"/>
      <c r="O99" s="407"/>
      <c r="P99" s="407"/>
      <c r="Q99" s="407"/>
      <c r="R99" s="407"/>
      <c r="S99" s="407"/>
      <c r="T99" s="407"/>
      <c r="U99" s="407"/>
      <c r="V99" s="407"/>
      <c r="W99" s="407"/>
      <c r="X99" s="407"/>
      <c r="Y99" s="407"/>
      <c r="Z99" s="407"/>
      <c r="AA99" s="407"/>
      <c r="AB99" s="407"/>
      <c r="AC99" s="407"/>
      <c r="AD99" s="407"/>
      <c r="AE99" s="407"/>
      <c r="AF99" s="407"/>
      <c r="AG99" s="407"/>
      <c r="AH99" s="417">
        <v>71082</v>
      </c>
      <c r="AI99" s="417">
        <v>71245</v>
      </c>
      <c r="AJ99" s="417">
        <v>71119</v>
      </c>
      <c r="AK99" s="417">
        <v>70859</v>
      </c>
      <c r="AL99" s="418">
        <v>70101</v>
      </c>
      <c r="AM99" s="419"/>
      <c r="AN99" s="420" t="s">
        <v>99</v>
      </c>
      <c r="AO99" s="421">
        <f>SUM(AO84:AO94)</f>
        <v>-161</v>
      </c>
      <c r="AP99" s="421">
        <f t="shared" ref="AP99:AR99" si="75">SUM(AP84:AP94)</f>
        <v>-223</v>
      </c>
      <c r="AQ99" s="421">
        <f t="shared" si="75"/>
        <v>-62</v>
      </c>
      <c r="AR99" s="421">
        <f t="shared" si="75"/>
        <v>-144</v>
      </c>
      <c r="AS99" s="410"/>
      <c r="AT99" s="410"/>
    </row>
    <row r="100" spans="1:49" ht="58.5" customHeight="1" thickBot="1" x14ac:dyDescent="0.4">
      <c r="D100" s="262"/>
      <c r="E100" s="262"/>
      <c r="F100" s="262"/>
      <c r="G100" s="655" t="s">
        <v>492</v>
      </c>
      <c r="H100" s="692" t="s">
        <v>804</v>
      </c>
      <c r="I100" s="692"/>
      <c r="J100" s="692"/>
      <c r="K100" s="692"/>
      <c r="L100" s="692"/>
      <c r="M100" s="692"/>
      <c r="N100" s="692"/>
      <c r="O100" s="692"/>
      <c r="P100" s="692"/>
      <c r="Q100" s="692"/>
      <c r="R100" s="692"/>
      <c r="S100" s="692"/>
      <c r="T100" s="692"/>
      <c r="U100" s="692"/>
      <c r="V100" s="692"/>
      <c r="W100" s="692"/>
      <c r="X100" s="692"/>
      <c r="Y100" s="692"/>
      <c r="Z100" s="692"/>
      <c r="AA100" s="692"/>
      <c r="AB100" s="692"/>
      <c r="AC100" s="692"/>
      <c r="AD100" s="692"/>
      <c r="AE100" s="692"/>
      <c r="AF100" s="692"/>
      <c r="AG100" s="693"/>
    </row>
    <row r="101" spans="1:49" ht="58.5" customHeight="1" thickBot="1" x14ac:dyDescent="0.4">
      <c r="D101" s="262"/>
      <c r="E101" s="262"/>
      <c r="F101" s="262"/>
      <c r="G101" s="422"/>
      <c r="H101" s="692" t="s">
        <v>805</v>
      </c>
      <c r="I101" s="692"/>
      <c r="J101" s="692"/>
      <c r="K101" s="692"/>
      <c r="L101" s="692"/>
      <c r="M101" s="692"/>
      <c r="N101" s="692"/>
      <c r="O101" s="692"/>
      <c r="P101" s="692"/>
      <c r="Q101" s="692"/>
      <c r="R101" s="692"/>
      <c r="S101" s="692"/>
      <c r="T101" s="692"/>
      <c r="U101" s="692"/>
      <c r="V101" s="692"/>
      <c r="W101" s="692"/>
      <c r="X101" s="692"/>
      <c r="Y101" s="692"/>
      <c r="Z101" s="692"/>
      <c r="AA101" s="692"/>
      <c r="AB101" s="692"/>
      <c r="AC101" s="692"/>
      <c r="AD101" s="692"/>
      <c r="AE101" s="692"/>
      <c r="AF101" s="692"/>
      <c r="AG101" s="693"/>
    </row>
    <row r="102" spans="1:49" ht="15.75" customHeight="1" x14ac:dyDescent="0.35">
      <c r="C102" s="263">
        <v>59</v>
      </c>
      <c r="F102" s="263" t="s">
        <v>496</v>
      </c>
      <c r="AC102" s="263">
        <v>0</v>
      </c>
      <c r="AD102" s="263">
        <v>0</v>
      </c>
      <c r="AE102" s="263">
        <v>0</v>
      </c>
      <c r="AF102" s="263">
        <v>0</v>
      </c>
      <c r="AG102" s="263">
        <v>0</v>
      </c>
    </row>
    <row r="103" spans="1:49" x14ac:dyDescent="0.35">
      <c r="C103" s="263">
        <v>5</v>
      </c>
      <c r="F103" s="263" t="s">
        <v>127</v>
      </c>
      <c r="AC103" s="263">
        <v>0</v>
      </c>
      <c r="AD103" s="263">
        <v>0</v>
      </c>
      <c r="AE103" s="263">
        <v>0</v>
      </c>
      <c r="AF103" s="263">
        <v>0</v>
      </c>
      <c r="AG103" s="263">
        <v>0</v>
      </c>
    </row>
    <row r="104" spans="1:49" x14ac:dyDescent="0.35">
      <c r="C104" s="263">
        <v>9</v>
      </c>
      <c r="F104" s="263" t="s">
        <v>388</v>
      </c>
      <c r="AC104" s="263">
        <v>0</v>
      </c>
      <c r="AD104" s="263">
        <v>0</v>
      </c>
      <c r="AE104" s="263">
        <v>0</v>
      </c>
      <c r="AF104" s="263">
        <v>0</v>
      </c>
      <c r="AG104" s="263">
        <v>0</v>
      </c>
    </row>
    <row r="105" spans="1:49" x14ac:dyDescent="0.35">
      <c r="C105" s="263">
        <v>126</v>
      </c>
      <c r="F105" s="263" t="s">
        <v>137</v>
      </c>
      <c r="AC105" s="263">
        <v>0</v>
      </c>
      <c r="AD105" s="263">
        <v>0</v>
      </c>
      <c r="AE105" s="263">
        <v>0</v>
      </c>
      <c r="AF105" s="263">
        <v>0</v>
      </c>
      <c r="AG105" s="263">
        <v>0</v>
      </c>
    </row>
    <row r="106" spans="1:49" x14ac:dyDescent="0.35">
      <c r="C106" s="263">
        <v>50</v>
      </c>
      <c r="F106" s="263" t="s">
        <v>139</v>
      </c>
      <c r="AC106" s="263">
        <v>0</v>
      </c>
      <c r="AD106" s="263">
        <v>0</v>
      </c>
      <c r="AE106" s="263">
        <v>0</v>
      </c>
      <c r="AF106" s="263">
        <v>0</v>
      </c>
      <c r="AG106" s="263">
        <v>0</v>
      </c>
    </row>
    <row r="107" spans="1:49" x14ac:dyDescent="0.35">
      <c r="C107" s="263">
        <v>17</v>
      </c>
      <c r="F107" s="263" t="s">
        <v>138</v>
      </c>
      <c r="AC107" s="263">
        <v>0</v>
      </c>
      <c r="AD107" s="263">
        <v>0</v>
      </c>
      <c r="AE107" s="263">
        <v>0</v>
      </c>
      <c r="AF107" s="263">
        <v>0</v>
      </c>
      <c r="AG107" s="263">
        <v>0</v>
      </c>
    </row>
    <row r="110" spans="1:49" x14ac:dyDescent="0.35">
      <c r="H110" s="643">
        <v>1003</v>
      </c>
      <c r="I110" s="315">
        <v>1044</v>
      </c>
      <c r="J110" s="315">
        <v>1076</v>
      </c>
      <c r="K110" s="315">
        <v>1110</v>
      </c>
      <c r="L110" s="647">
        <v>1153</v>
      </c>
    </row>
  </sheetData>
  <mergeCells count="14">
    <mergeCell ref="H101:AG101"/>
    <mergeCell ref="F6:AR6"/>
    <mergeCell ref="H8:Q8"/>
    <mergeCell ref="R8:AA8"/>
    <mergeCell ref="AB8:AB9"/>
    <mergeCell ref="AC8:AG8"/>
    <mergeCell ref="AP8:AP9"/>
    <mergeCell ref="AQ8:AQ9"/>
    <mergeCell ref="AR8:AR9"/>
    <mergeCell ref="AT8:AX8"/>
    <mergeCell ref="J97:K97"/>
    <mergeCell ref="T97:U97"/>
    <mergeCell ref="AE97:AF97"/>
    <mergeCell ref="H100:AG100"/>
  </mergeCells>
  <conditionalFormatting sqref="AO10:AO94">
    <cfRule type="cellIs" dxfId="2" priority="1" operator="greaterThan">
      <formula>50</formula>
    </cfRule>
    <cfRule type="cellIs" dxfId="1" priority="2" operator="lessThan">
      <formula>-15</formula>
    </cfRule>
    <cfRule type="cellIs" dxfId="0" priority="3" operator="greaterThan">
      <formula>15</formula>
    </cfRule>
  </conditionalFormatting>
  <printOptions horizontalCentered="1" verticalCentered="1"/>
  <pageMargins left="0.45" right="0.45" top="0.5" bottom="0.5" header="0.3" footer="0.3"/>
  <pageSetup paperSize="3" scale="64" orientation="portrait" r:id="rId1"/>
  <headerFooter>
    <oddHeader>&amp;CBase K12 Charter Mobility, Birth</oddHeader>
    <oddFooter>&amp;LFacilities Services/Kmb&amp;CFinal Budgeting projections with GM projections, 12-17-2024&amp;RBaseDevRecalc1
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818B-9EC4-405E-86CA-BC4B15716423}">
  <dimension ref="A1:X126"/>
  <sheetViews>
    <sheetView workbookViewId="0">
      <selection activeCell="K15" sqref="K15"/>
    </sheetView>
  </sheetViews>
  <sheetFormatPr defaultRowHeight="14.5" x14ac:dyDescent="0.35"/>
  <cols>
    <col min="2" max="2" width="36" bestFit="1" customWidth="1"/>
    <col min="3" max="9" width="8.7265625" customWidth="1"/>
    <col min="15" max="15" width="59.26953125" bestFit="1" customWidth="1"/>
    <col min="16" max="16" width="12.6328125" bestFit="1" customWidth="1"/>
    <col min="17" max="17" width="29.1796875" bestFit="1" customWidth="1"/>
    <col min="18" max="18" width="9.453125" bestFit="1" customWidth="1"/>
  </cols>
  <sheetData>
    <row r="1" spans="1:24" x14ac:dyDescent="0.35">
      <c r="A1">
        <v>1</v>
      </c>
      <c r="B1">
        <f>A1+1</f>
        <v>2</v>
      </c>
      <c r="C1">
        <f t="shared" ref="C1:Q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 s="641">
        <f t="shared" si="0"/>
        <v>11</v>
      </c>
      <c r="L1">
        <f t="shared" si="0"/>
        <v>12</v>
      </c>
      <c r="M1" s="64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</row>
    <row r="2" spans="1:24" x14ac:dyDescent="0.35">
      <c r="B2" s="640" t="s">
        <v>510</v>
      </c>
      <c r="C2" s="640" t="s">
        <v>511</v>
      </c>
      <c r="D2" s="576"/>
      <c r="E2" s="576"/>
      <c r="F2" s="576"/>
      <c r="G2" s="576"/>
      <c r="H2" s="576"/>
      <c r="I2" s="576"/>
      <c r="J2" s="578"/>
      <c r="K2" s="578"/>
      <c r="L2" s="578"/>
      <c r="M2" s="578"/>
      <c r="N2" s="578"/>
      <c r="O2" s="639" t="s">
        <v>796</v>
      </c>
      <c r="P2" s="638"/>
      <c r="Q2" s="576"/>
      <c r="R2" s="576"/>
      <c r="S2" s="576"/>
      <c r="T2" s="576"/>
      <c r="U2" s="576"/>
      <c r="V2" s="576"/>
      <c r="W2" s="576"/>
      <c r="X2" s="576"/>
    </row>
    <row r="3" spans="1:24" ht="15" thickBot="1" x14ac:dyDescent="0.4">
      <c r="B3" s="576"/>
      <c r="C3" s="637" t="s">
        <v>640</v>
      </c>
      <c r="D3" s="579" t="s">
        <v>641</v>
      </c>
      <c r="E3" s="579"/>
      <c r="F3" s="579" t="s">
        <v>487</v>
      </c>
      <c r="G3" s="576"/>
      <c r="H3" s="577" t="s">
        <v>795</v>
      </c>
      <c r="I3" s="576"/>
      <c r="J3" s="576"/>
      <c r="K3" s="576"/>
      <c r="L3" s="576"/>
      <c r="M3" s="576"/>
      <c r="N3" s="576"/>
      <c r="O3" s="576"/>
      <c r="P3" s="576"/>
      <c r="Q3" s="576"/>
    </row>
    <row r="4" spans="1:24" ht="15" thickBot="1" x14ac:dyDescent="0.4">
      <c r="B4" s="633"/>
      <c r="C4" s="633" t="s">
        <v>642</v>
      </c>
      <c r="D4" s="633"/>
      <c r="E4" s="633"/>
      <c r="F4" s="633"/>
      <c r="G4" s="633"/>
      <c r="H4" s="633"/>
      <c r="I4" s="633"/>
      <c r="J4" s="633"/>
      <c r="K4" s="633"/>
      <c r="L4" s="633"/>
      <c r="M4" s="633"/>
      <c r="N4" s="636"/>
      <c r="O4" s="635"/>
      <c r="P4" s="576"/>
      <c r="Q4" s="613" t="s">
        <v>794</v>
      </c>
      <c r="R4" s="576"/>
      <c r="S4" s="576"/>
      <c r="T4" s="576"/>
      <c r="U4" s="576"/>
      <c r="V4" s="576"/>
      <c r="W4" s="576"/>
      <c r="X4" s="576"/>
    </row>
    <row r="5" spans="1:24" x14ac:dyDescent="0.35">
      <c r="B5" s="633"/>
      <c r="C5" s="633" t="s">
        <v>643</v>
      </c>
      <c r="D5" s="633"/>
      <c r="E5" s="633"/>
      <c r="F5" s="633"/>
      <c r="G5" s="633"/>
      <c r="H5" s="633"/>
      <c r="I5" s="633"/>
      <c r="J5" s="633"/>
      <c r="K5" s="633"/>
      <c r="L5" s="633"/>
      <c r="M5" s="633"/>
      <c r="N5" s="636"/>
      <c r="O5" s="635"/>
      <c r="P5" s="576"/>
      <c r="Q5" s="634" t="s">
        <v>793</v>
      </c>
      <c r="R5" s="576"/>
      <c r="S5" s="576"/>
      <c r="T5" s="576"/>
      <c r="U5" s="576"/>
      <c r="V5" s="576"/>
      <c r="W5" s="576"/>
      <c r="X5" s="576"/>
    </row>
    <row r="6" spans="1:24" x14ac:dyDescent="0.35">
      <c r="B6" s="633" t="s">
        <v>12</v>
      </c>
      <c r="C6" s="633">
        <v>2018</v>
      </c>
      <c r="D6" s="633">
        <v>2019</v>
      </c>
      <c r="E6" s="633">
        <v>2020</v>
      </c>
      <c r="F6" s="633">
        <v>2021</v>
      </c>
      <c r="G6" s="633">
        <v>2022</v>
      </c>
      <c r="H6" s="633">
        <v>2023</v>
      </c>
      <c r="I6" s="633">
        <v>2024</v>
      </c>
      <c r="J6" s="633">
        <v>2025</v>
      </c>
      <c r="K6" s="633">
        <v>2026</v>
      </c>
      <c r="L6" s="633">
        <v>2025</v>
      </c>
      <c r="M6" s="633">
        <v>2026</v>
      </c>
      <c r="N6" s="632"/>
      <c r="O6" s="631" t="s">
        <v>644</v>
      </c>
      <c r="P6" s="576"/>
      <c r="Q6" s="576"/>
      <c r="R6" s="576"/>
      <c r="S6" s="576"/>
      <c r="T6" s="576"/>
      <c r="U6" s="576"/>
      <c r="V6" s="576"/>
      <c r="W6" s="576"/>
      <c r="X6" s="576"/>
    </row>
    <row r="7" spans="1:24" x14ac:dyDescent="0.35">
      <c r="A7" t="s">
        <v>9</v>
      </c>
      <c r="B7" s="595" t="s">
        <v>19</v>
      </c>
      <c r="C7" s="593">
        <v>34615</v>
      </c>
      <c r="D7" s="593">
        <v>34469</v>
      </c>
      <c r="E7" s="593">
        <v>31034</v>
      </c>
      <c r="F7" s="593">
        <v>31734</v>
      </c>
      <c r="G7" s="593">
        <v>32360</v>
      </c>
      <c r="H7" s="593">
        <v>32195</v>
      </c>
      <c r="I7" s="593">
        <v>31986</v>
      </c>
      <c r="J7" s="594">
        <v>31076</v>
      </c>
      <c r="K7" s="593">
        <f>SUM(K8:K64)</f>
        <v>30475</v>
      </c>
      <c r="L7" s="592">
        <v>-910</v>
      </c>
      <c r="M7" s="592">
        <v>-301</v>
      </c>
      <c r="N7" s="591"/>
      <c r="O7" s="590"/>
      <c r="P7" s="576"/>
      <c r="Q7" s="593">
        <f>SUM(Q8:Q64)</f>
        <v>30475</v>
      </c>
      <c r="R7" s="614">
        <f>Q7-J7</f>
        <v>-601</v>
      </c>
      <c r="S7" s="576"/>
      <c r="T7" s="576"/>
      <c r="U7" s="576"/>
      <c r="V7" s="576"/>
      <c r="W7" s="576"/>
      <c r="X7" s="576"/>
    </row>
    <row r="8" spans="1:24" x14ac:dyDescent="0.35">
      <c r="A8">
        <v>51</v>
      </c>
      <c r="B8" s="588" t="s">
        <v>513</v>
      </c>
      <c r="C8" s="576">
        <v>723</v>
      </c>
      <c r="D8" s="576">
        <v>642</v>
      </c>
      <c r="E8" s="576">
        <v>603</v>
      </c>
      <c r="F8" s="576">
        <v>561</v>
      </c>
      <c r="G8" s="576">
        <v>505</v>
      </c>
      <c r="H8" s="576">
        <v>472</v>
      </c>
      <c r="I8" s="576">
        <v>473</v>
      </c>
      <c r="J8" s="576">
        <v>491</v>
      </c>
      <c r="K8" s="613">
        <v>491</v>
      </c>
      <c r="L8" s="576">
        <v>18</v>
      </c>
      <c r="M8" s="576">
        <v>17</v>
      </c>
      <c r="N8" s="587"/>
      <c r="O8" s="630" t="s">
        <v>792</v>
      </c>
      <c r="P8" s="576"/>
      <c r="Q8" s="613">
        <v>491</v>
      </c>
      <c r="R8" s="576"/>
      <c r="S8" s="576"/>
      <c r="T8" s="576"/>
      <c r="U8" s="576"/>
      <c r="V8" s="576"/>
      <c r="W8" s="576"/>
      <c r="X8" s="576"/>
    </row>
    <row r="9" spans="1:24" x14ac:dyDescent="0.35">
      <c r="A9">
        <v>61</v>
      </c>
      <c r="B9" s="588" t="s">
        <v>514</v>
      </c>
      <c r="C9" s="576">
        <v>847</v>
      </c>
      <c r="D9" s="576">
        <v>836</v>
      </c>
      <c r="E9" s="576">
        <v>785</v>
      </c>
      <c r="F9" s="576">
        <v>782</v>
      </c>
      <c r="G9" s="576">
        <v>731</v>
      </c>
      <c r="H9" s="576">
        <v>643</v>
      </c>
      <c r="I9" s="576">
        <v>596</v>
      </c>
      <c r="J9" s="576">
        <v>573</v>
      </c>
      <c r="K9" s="576">
        <v>564</v>
      </c>
      <c r="L9" s="576">
        <v>-23</v>
      </c>
      <c r="M9" s="576">
        <v>-9</v>
      </c>
      <c r="N9" s="587"/>
      <c r="O9" s="586" t="s">
        <v>729</v>
      </c>
      <c r="P9" s="576"/>
      <c r="Q9" s="629">
        <v>564</v>
      </c>
      <c r="R9" s="576"/>
      <c r="S9" s="576"/>
      <c r="T9" s="576"/>
      <c r="U9" s="576"/>
      <c r="V9" s="576"/>
      <c r="W9" s="576"/>
      <c r="X9" s="576"/>
    </row>
    <row r="10" spans="1:24" x14ac:dyDescent="0.35">
      <c r="A10">
        <v>91</v>
      </c>
      <c r="B10" s="588" t="s">
        <v>515</v>
      </c>
      <c r="C10" s="576">
        <v>515</v>
      </c>
      <c r="D10" s="576">
        <v>520</v>
      </c>
      <c r="E10" s="576">
        <v>499</v>
      </c>
      <c r="F10" s="576">
        <v>534</v>
      </c>
      <c r="G10" s="576">
        <v>560</v>
      </c>
      <c r="H10" s="576">
        <v>488</v>
      </c>
      <c r="I10" s="576">
        <v>465</v>
      </c>
      <c r="J10" s="576">
        <v>473</v>
      </c>
      <c r="K10" s="576">
        <v>442</v>
      </c>
      <c r="L10" s="576">
        <v>8</v>
      </c>
      <c r="M10" s="576">
        <v>-31</v>
      </c>
      <c r="N10" s="587"/>
      <c r="O10" s="586" t="s">
        <v>729</v>
      </c>
      <c r="P10" s="576"/>
      <c r="Q10" s="629">
        <v>442</v>
      </c>
      <c r="R10" s="576"/>
      <c r="S10" s="576"/>
      <c r="T10" s="576"/>
      <c r="U10" s="576"/>
      <c r="V10" s="576"/>
      <c r="W10" s="576"/>
      <c r="X10" s="576"/>
    </row>
    <row r="11" spans="1:24" ht="29" x14ac:dyDescent="0.35">
      <c r="A11">
        <v>101</v>
      </c>
      <c r="B11" s="588" t="s">
        <v>516</v>
      </c>
      <c r="C11" s="576">
        <v>479</v>
      </c>
      <c r="D11" s="576">
        <v>452</v>
      </c>
      <c r="E11" s="576">
        <v>389</v>
      </c>
      <c r="F11" s="576">
        <v>431</v>
      </c>
      <c r="G11" s="576">
        <v>464</v>
      </c>
      <c r="H11" s="576">
        <v>416</v>
      </c>
      <c r="I11" s="576">
        <v>395</v>
      </c>
      <c r="J11" s="576">
        <v>407</v>
      </c>
      <c r="K11" s="576">
        <v>392</v>
      </c>
      <c r="L11" s="576">
        <v>12</v>
      </c>
      <c r="M11" s="578">
        <v>-15</v>
      </c>
      <c r="N11" s="587"/>
      <c r="O11" s="623" t="s">
        <v>791</v>
      </c>
      <c r="P11" s="576"/>
      <c r="Q11" s="576">
        <v>392</v>
      </c>
      <c r="R11" s="576"/>
      <c r="S11" s="576"/>
      <c r="T11" s="576"/>
      <c r="U11" s="576"/>
      <c r="V11" s="576"/>
      <c r="W11" s="576"/>
      <c r="X11" s="576"/>
    </row>
    <row r="12" spans="1:24" ht="43.5" x14ac:dyDescent="0.35">
      <c r="A12">
        <v>122</v>
      </c>
      <c r="B12" s="588" t="s">
        <v>517</v>
      </c>
      <c r="C12" s="576">
        <v>311</v>
      </c>
      <c r="D12" s="576">
        <v>351</v>
      </c>
      <c r="E12" s="576">
        <v>367</v>
      </c>
      <c r="F12" s="576">
        <v>396</v>
      </c>
      <c r="G12" s="576">
        <v>434</v>
      </c>
      <c r="H12" s="576">
        <v>446</v>
      </c>
      <c r="I12" s="576">
        <v>469</v>
      </c>
      <c r="J12" s="576">
        <v>484</v>
      </c>
      <c r="K12" s="576">
        <v>506</v>
      </c>
      <c r="L12" s="576">
        <v>15</v>
      </c>
      <c r="M12" s="576">
        <v>22</v>
      </c>
      <c r="N12" s="587"/>
      <c r="O12" s="623" t="s">
        <v>790</v>
      </c>
      <c r="P12" s="576"/>
      <c r="Q12" s="629">
        <v>506</v>
      </c>
      <c r="R12" s="576"/>
      <c r="S12" s="576"/>
      <c r="T12" s="576"/>
      <c r="U12" s="576"/>
      <c r="V12" s="576"/>
      <c r="W12" s="576"/>
      <c r="X12" s="576"/>
    </row>
    <row r="13" spans="1:24" x14ac:dyDescent="0.35">
      <c r="A13">
        <v>151</v>
      </c>
      <c r="B13" s="588" t="s">
        <v>518</v>
      </c>
      <c r="C13" s="576">
        <v>639</v>
      </c>
      <c r="D13" s="576">
        <v>629</v>
      </c>
      <c r="E13" s="576">
        <v>605</v>
      </c>
      <c r="F13" s="576">
        <v>624</v>
      </c>
      <c r="G13" s="576">
        <v>659</v>
      </c>
      <c r="H13" s="576">
        <v>671</v>
      </c>
      <c r="I13" s="576">
        <v>607</v>
      </c>
      <c r="J13" s="576">
        <v>559</v>
      </c>
      <c r="K13" s="576">
        <v>554</v>
      </c>
      <c r="L13" s="576">
        <v>-48</v>
      </c>
      <c r="M13" s="576">
        <v>-5</v>
      </c>
      <c r="N13" s="587"/>
      <c r="O13" s="586" t="s">
        <v>729</v>
      </c>
      <c r="P13" s="576"/>
      <c r="Q13" s="576">
        <v>554</v>
      </c>
      <c r="R13" s="576"/>
      <c r="S13" s="576"/>
      <c r="T13" s="576"/>
      <c r="U13" s="576"/>
      <c r="V13" s="576"/>
      <c r="W13" s="576"/>
      <c r="X13" s="576"/>
    </row>
    <row r="14" spans="1:24" ht="35" customHeight="1" x14ac:dyDescent="0.35">
      <c r="A14">
        <v>181</v>
      </c>
      <c r="B14" s="588" t="s">
        <v>519</v>
      </c>
      <c r="C14" s="576">
        <v>517</v>
      </c>
      <c r="D14" s="576">
        <v>496</v>
      </c>
      <c r="E14" s="576">
        <v>470</v>
      </c>
      <c r="F14" s="576">
        <v>496</v>
      </c>
      <c r="G14" s="576">
        <v>521</v>
      </c>
      <c r="H14" s="576">
        <v>529</v>
      </c>
      <c r="I14" s="576">
        <v>501</v>
      </c>
      <c r="J14" s="576">
        <v>439</v>
      </c>
      <c r="K14" s="576">
        <v>430</v>
      </c>
      <c r="L14" s="576">
        <v>-62</v>
      </c>
      <c r="M14" s="578">
        <v>-9</v>
      </c>
      <c r="N14" s="587"/>
      <c r="O14" s="623" t="s">
        <v>789</v>
      </c>
      <c r="P14" s="576"/>
      <c r="Q14" s="576">
        <v>430</v>
      </c>
      <c r="R14" s="576"/>
      <c r="S14" s="576"/>
      <c r="T14" s="576"/>
      <c r="U14" s="576"/>
      <c r="V14" s="576"/>
      <c r="W14" s="576"/>
      <c r="X14" s="576"/>
    </row>
    <row r="15" spans="1:24" ht="27.5" customHeight="1" x14ac:dyDescent="0.35">
      <c r="A15">
        <v>191</v>
      </c>
      <c r="B15" s="588" t="s">
        <v>520</v>
      </c>
      <c r="C15" s="576">
        <v>571</v>
      </c>
      <c r="D15" s="576">
        <v>543</v>
      </c>
      <c r="E15" s="576">
        <v>477</v>
      </c>
      <c r="F15" s="576">
        <v>506</v>
      </c>
      <c r="G15" s="576">
        <v>503</v>
      </c>
      <c r="H15" s="576">
        <v>481</v>
      </c>
      <c r="I15" s="576">
        <v>431</v>
      </c>
      <c r="J15" s="576">
        <v>436</v>
      </c>
      <c r="K15" s="613">
        <v>438</v>
      </c>
      <c r="L15" s="576">
        <v>5</v>
      </c>
      <c r="M15" s="576">
        <v>13</v>
      </c>
      <c r="N15" s="587"/>
      <c r="O15" s="618" t="s">
        <v>788</v>
      </c>
      <c r="P15" s="576"/>
      <c r="Q15" s="613">
        <v>438</v>
      </c>
      <c r="R15" s="576"/>
      <c r="S15" s="576"/>
      <c r="T15" s="576"/>
      <c r="U15" s="576"/>
      <c r="V15" s="576"/>
      <c r="W15" s="576"/>
      <c r="X15" s="576"/>
    </row>
    <row r="16" spans="1:24" ht="24" customHeight="1" x14ac:dyDescent="0.35">
      <c r="A16">
        <v>201</v>
      </c>
      <c r="B16" s="588" t="s">
        <v>521</v>
      </c>
      <c r="C16" s="576">
        <v>713</v>
      </c>
      <c r="D16" s="576">
        <v>670</v>
      </c>
      <c r="E16" s="576">
        <v>633</v>
      </c>
      <c r="F16" s="576">
        <v>629</v>
      </c>
      <c r="G16" s="576">
        <v>620</v>
      </c>
      <c r="H16" s="576">
        <v>635</v>
      </c>
      <c r="I16" s="576">
        <v>653</v>
      </c>
      <c r="J16" s="576">
        <v>615</v>
      </c>
      <c r="K16" s="576">
        <v>583</v>
      </c>
      <c r="L16" s="576">
        <v>-38</v>
      </c>
      <c r="M16" s="576">
        <v>-32</v>
      </c>
      <c r="N16" s="587"/>
      <c r="O16" s="623" t="s">
        <v>787</v>
      </c>
      <c r="P16" s="576"/>
      <c r="Q16" s="576">
        <v>583</v>
      </c>
      <c r="R16" s="576"/>
      <c r="S16" s="576"/>
      <c r="T16" s="576"/>
      <c r="U16" s="576"/>
      <c r="V16" s="576"/>
      <c r="W16" s="576"/>
      <c r="X16" s="576"/>
    </row>
    <row r="17" spans="1:24" ht="25" customHeight="1" x14ac:dyDescent="0.35">
      <c r="A17">
        <v>301</v>
      </c>
      <c r="B17" s="588" t="s">
        <v>522</v>
      </c>
      <c r="C17" s="576">
        <v>599</v>
      </c>
      <c r="D17" s="576">
        <v>607</v>
      </c>
      <c r="E17" s="576">
        <v>536</v>
      </c>
      <c r="F17" s="576">
        <v>605</v>
      </c>
      <c r="G17" s="576">
        <v>597</v>
      </c>
      <c r="H17" s="576">
        <v>610</v>
      </c>
      <c r="I17" s="576">
        <v>597</v>
      </c>
      <c r="J17" s="576">
        <v>598</v>
      </c>
      <c r="K17" s="576">
        <v>577</v>
      </c>
      <c r="L17" s="576">
        <v>1</v>
      </c>
      <c r="M17" s="576">
        <v>-21</v>
      </c>
      <c r="N17" s="587"/>
      <c r="O17" s="623" t="s">
        <v>786</v>
      </c>
      <c r="P17" s="576"/>
      <c r="Q17" s="576">
        <v>577</v>
      </c>
      <c r="R17" s="576"/>
      <c r="S17" s="576"/>
      <c r="T17" s="576"/>
      <c r="U17" s="576"/>
      <c r="V17" s="576"/>
      <c r="W17" s="576"/>
      <c r="X17" s="576"/>
    </row>
    <row r="18" spans="1:24" x14ac:dyDescent="0.35">
      <c r="A18">
        <v>1041</v>
      </c>
      <c r="B18" s="588" t="s">
        <v>523</v>
      </c>
      <c r="C18" s="576">
        <v>661</v>
      </c>
      <c r="D18" s="576">
        <v>632</v>
      </c>
      <c r="E18" s="576">
        <v>519</v>
      </c>
      <c r="F18" s="576">
        <v>506</v>
      </c>
      <c r="G18" s="576">
        <v>495</v>
      </c>
      <c r="H18" s="576">
        <v>504</v>
      </c>
      <c r="I18" s="576">
        <v>477</v>
      </c>
      <c r="J18" s="576">
        <v>511</v>
      </c>
      <c r="K18" s="576">
        <v>472</v>
      </c>
      <c r="L18" s="576">
        <v>34</v>
      </c>
      <c r="M18" s="576">
        <v>-39</v>
      </c>
      <c r="N18" s="587"/>
      <c r="O18" s="586"/>
      <c r="P18" s="576"/>
      <c r="Q18" s="576">
        <v>472</v>
      </c>
      <c r="R18" s="576"/>
      <c r="S18" s="576"/>
      <c r="T18" s="576"/>
      <c r="U18" s="576"/>
      <c r="V18" s="576"/>
      <c r="W18" s="576"/>
      <c r="X18" s="576"/>
    </row>
    <row r="19" spans="1:24" ht="20" customHeight="1" x14ac:dyDescent="0.35">
      <c r="A19">
        <v>1051</v>
      </c>
      <c r="B19" s="588" t="s">
        <v>524</v>
      </c>
      <c r="C19" s="576">
        <v>662</v>
      </c>
      <c r="D19" s="576">
        <v>652</v>
      </c>
      <c r="E19" s="576">
        <v>608</v>
      </c>
      <c r="F19" s="576">
        <v>657</v>
      </c>
      <c r="G19" s="576">
        <v>719</v>
      </c>
      <c r="H19" s="576">
        <v>720</v>
      </c>
      <c r="I19" s="576">
        <v>744</v>
      </c>
      <c r="J19" s="576">
        <v>693</v>
      </c>
      <c r="K19" s="576">
        <v>679</v>
      </c>
      <c r="L19" s="576">
        <v>-51</v>
      </c>
      <c r="M19" s="576">
        <v>-14</v>
      </c>
      <c r="N19" s="587"/>
      <c r="O19" s="623" t="s">
        <v>785</v>
      </c>
      <c r="P19" s="576"/>
      <c r="Q19" s="576">
        <v>679</v>
      </c>
      <c r="R19" s="576"/>
      <c r="S19" s="576"/>
      <c r="T19" s="576"/>
      <c r="U19" s="576"/>
      <c r="V19" s="576"/>
      <c r="W19" s="576"/>
      <c r="X19" s="576"/>
    </row>
    <row r="20" spans="1:24" x14ac:dyDescent="0.35">
      <c r="A20">
        <v>1071</v>
      </c>
      <c r="B20" s="588" t="s">
        <v>525</v>
      </c>
      <c r="C20" s="576">
        <v>555</v>
      </c>
      <c r="D20" s="576">
        <v>508</v>
      </c>
      <c r="E20" s="576">
        <v>439</v>
      </c>
      <c r="F20" s="576">
        <v>454</v>
      </c>
      <c r="G20" s="576">
        <v>441</v>
      </c>
      <c r="H20" s="576">
        <v>459</v>
      </c>
      <c r="I20" s="576">
        <v>448</v>
      </c>
      <c r="J20" s="576">
        <v>462</v>
      </c>
      <c r="K20" s="576">
        <v>448</v>
      </c>
      <c r="L20" s="576">
        <v>14</v>
      </c>
      <c r="M20" s="576">
        <v>-14</v>
      </c>
      <c r="N20" s="587"/>
      <c r="O20" s="586" t="s">
        <v>729</v>
      </c>
      <c r="P20" s="576"/>
      <c r="Q20" s="576">
        <v>448</v>
      </c>
      <c r="R20" s="576"/>
      <c r="S20" s="576"/>
      <c r="T20" s="576"/>
      <c r="U20" s="576"/>
      <c r="V20" s="576"/>
      <c r="W20" s="576"/>
      <c r="X20" s="576"/>
    </row>
    <row r="21" spans="1:24" ht="26.5" customHeight="1" x14ac:dyDescent="0.35">
      <c r="A21">
        <v>1091</v>
      </c>
      <c r="B21" s="588" t="s">
        <v>526</v>
      </c>
      <c r="C21" s="576">
        <v>681</v>
      </c>
      <c r="D21" s="576">
        <v>667</v>
      </c>
      <c r="E21" s="576">
        <v>577</v>
      </c>
      <c r="F21" s="576">
        <v>581</v>
      </c>
      <c r="G21" s="576">
        <v>617</v>
      </c>
      <c r="H21" s="576">
        <v>517</v>
      </c>
      <c r="I21" s="576">
        <v>466</v>
      </c>
      <c r="J21" s="576">
        <v>469</v>
      </c>
      <c r="K21" s="576">
        <v>489</v>
      </c>
      <c r="L21" s="576">
        <v>3</v>
      </c>
      <c r="M21" s="578">
        <v>20</v>
      </c>
      <c r="N21" s="587"/>
      <c r="O21" s="623" t="s">
        <v>784</v>
      </c>
      <c r="P21" s="576"/>
      <c r="Q21" s="576">
        <v>489</v>
      </c>
      <c r="R21" s="576"/>
      <c r="S21" s="576"/>
      <c r="T21" s="576"/>
      <c r="U21" s="576"/>
      <c r="V21" s="576"/>
      <c r="W21" s="576"/>
      <c r="X21" s="576"/>
    </row>
    <row r="22" spans="1:24" ht="21" customHeight="1" x14ac:dyDescent="0.35">
      <c r="A22">
        <v>1131</v>
      </c>
      <c r="B22" s="588" t="s">
        <v>527</v>
      </c>
      <c r="C22" s="576">
        <v>853</v>
      </c>
      <c r="D22" s="576">
        <v>845</v>
      </c>
      <c r="E22" s="576">
        <v>794</v>
      </c>
      <c r="F22" s="576">
        <v>678</v>
      </c>
      <c r="G22" s="576">
        <v>649</v>
      </c>
      <c r="H22" s="576">
        <v>589</v>
      </c>
      <c r="I22" s="576">
        <v>622</v>
      </c>
      <c r="J22" s="576">
        <v>595</v>
      </c>
      <c r="K22" s="576">
        <v>607</v>
      </c>
      <c r="L22" s="576">
        <v>-27</v>
      </c>
      <c r="M22" s="578">
        <v>12</v>
      </c>
      <c r="N22" s="587"/>
      <c r="O22" s="628" t="s">
        <v>783</v>
      </c>
      <c r="P22" s="576"/>
      <c r="Q22" s="616">
        <v>607</v>
      </c>
      <c r="R22" s="576"/>
      <c r="S22" s="576"/>
      <c r="T22" s="576"/>
      <c r="U22" s="576"/>
      <c r="V22" s="576"/>
      <c r="W22" s="576"/>
      <c r="X22" s="576"/>
    </row>
    <row r="23" spans="1:24" ht="22.5" customHeight="1" x14ac:dyDescent="0.35">
      <c r="A23">
        <v>1141</v>
      </c>
      <c r="B23" s="588" t="s">
        <v>528</v>
      </c>
      <c r="C23" s="576">
        <v>720</v>
      </c>
      <c r="D23" s="576">
        <v>718</v>
      </c>
      <c r="E23" s="576">
        <v>618</v>
      </c>
      <c r="F23" s="576">
        <v>592</v>
      </c>
      <c r="G23" s="576">
        <v>568</v>
      </c>
      <c r="H23" s="576">
        <v>525</v>
      </c>
      <c r="I23" s="576">
        <v>481</v>
      </c>
      <c r="J23" s="576">
        <v>433</v>
      </c>
      <c r="K23" s="576">
        <v>422</v>
      </c>
      <c r="L23" s="576">
        <v>-48</v>
      </c>
      <c r="M23" s="576">
        <v>-11</v>
      </c>
      <c r="N23" s="587"/>
      <c r="O23" s="623" t="s">
        <v>782</v>
      </c>
      <c r="P23" s="576"/>
      <c r="Q23" s="576">
        <v>422</v>
      </c>
      <c r="R23" s="576"/>
      <c r="S23" s="576"/>
      <c r="T23" s="576"/>
      <c r="U23" s="576"/>
      <c r="V23" s="576"/>
      <c r="W23" s="576"/>
      <c r="X23" s="576"/>
    </row>
    <row r="24" spans="1:24" x14ac:dyDescent="0.35">
      <c r="A24">
        <v>1151</v>
      </c>
      <c r="B24" s="588" t="s">
        <v>529</v>
      </c>
      <c r="C24" s="576">
        <v>582</v>
      </c>
      <c r="D24" s="576">
        <v>574</v>
      </c>
      <c r="E24" s="576">
        <v>482</v>
      </c>
      <c r="F24" s="576">
        <v>494</v>
      </c>
      <c r="G24" s="576">
        <v>451</v>
      </c>
      <c r="H24" s="576">
        <v>443</v>
      </c>
      <c r="I24" s="576">
        <v>436</v>
      </c>
      <c r="J24" s="576">
        <v>406</v>
      </c>
      <c r="K24" s="576">
        <v>402</v>
      </c>
      <c r="L24" s="576">
        <v>-30</v>
      </c>
      <c r="M24" s="576">
        <v>-4</v>
      </c>
      <c r="N24" s="587"/>
      <c r="O24" s="627" t="s">
        <v>781</v>
      </c>
      <c r="P24" s="576"/>
      <c r="Q24" s="576">
        <v>402</v>
      </c>
      <c r="R24" s="576"/>
      <c r="S24" s="576"/>
      <c r="T24" s="576"/>
      <c r="U24" s="576"/>
      <c r="V24" s="576"/>
      <c r="W24" s="576"/>
      <c r="X24" s="576"/>
    </row>
    <row r="25" spans="1:24" ht="29" x14ac:dyDescent="0.35">
      <c r="A25">
        <v>1161</v>
      </c>
      <c r="B25" s="588" t="s">
        <v>530</v>
      </c>
      <c r="C25" s="576">
        <v>949</v>
      </c>
      <c r="D25" s="576">
        <v>995</v>
      </c>
      <c r="E25" s="576">
        <v>868</v>
      </c>
      <c r="F25" s="576">
        <v>843</v>
      </c>
      <c r="G25" s="576">
        <v>898</v>
      </c>
      <c r="H25" s="576">
        <v>876</v>
      </c>
      <c r="I25" s="576">
        <v>910</v>
      </c>
      <c r="J25" s="576">
        <v>943</v>
      </c>
      <c r="K25" s="616">
        <v>956</v>
      </c>
      <c r="L25" s="576">
        <v>33</v>
      </c>
      <c r="M25" s="576">
        <v>13</v>
      </c>
      <c r="N25" s="587"/>
      <c r="O25" s="623" t="s">
        <v>780</v>
      </c>
      <c r="P25" s="576"/>
      <c r="Q25" s="616">
        <v>956</v>
      </c>
      <c r="R25" s="576"/>
      <c r="S25" s="576"/>
      <c r="T25" s="576"/>
      <c r="U25" s="576"/>
      <c r="V25" s="576"/>
      <c r="W25" s="576"/>
      <c r="X25" s="576"/>
    </row>
    <row r="26" spans="1:24" x14ac:dyDescent="0.35">
      <c r="A26">
        <v>2031</v>
      </c>
      <c r="B26" s="588" t="s">
        <v>531</v>
      </c>
      <c r="C26" s="576">
        <v>868</v>
      </c>
      <c r="D26" s="576">
        <v>836</v>
      </c>
      <c r="E26" s="576">
        <v>772</v>
      </c>
      <c r="F26" s="576">
        <v>832</v>
      </c>
      <c r="G26" s="576">
        <v>825</v>
      </c>
      <c r="H26" s="576">
        <v>797</v>
      </c>
      <c r="I26" s="576">
        <v>778</v>
      </c>
      <c r="J26" s="576">
        <v>757</v>
      </c>
      <c r="K26" s="576">
        <v>723</v>
      </c>
      <c r="L26" s="576">
        <v>-21</v>
      </c>
      <c r="M26" s="576">
        <v>-9</v>
      </c>
      <c r="N26" s="587"/>
      <c r="O26" s="608" t="s">
        <v>779</v>
      </c>
      <c r="P26" s="576"/>
      <c r="Q26" s="576">
        <v>723</v>
      </c>
      <c r="R26" s="576"/>
      <c r="S26" s="576"/>
      <c r="T26" s="576"/>
      <c r="U26" s="576"/>
      <c r="V26" s="576"/>
      <c r="W26" s="576"/>
      <c r="X26" s="576"/>
    </row>
    <row r="27" spans="1:24" ht="14.5" customHeight="1" x14ac:dyDescent="0.35">
      <c r="A27">
        <v>2041</v>
      </c>
      <c r="B27" s="588" t="s">
        <v>532</v>
      </c>
      <c r="C27" s="576">
        <v>626</v>
      </c>
      <c r="D27" s="576">
        <v>680</v>
      </c>
      <c r="E27" s="576">
        <v>661</v>
      </c>
      <c r="F27" s="576">
        <v>678</v>
      </c>
      <c r="G27" s="576">
        <v>651</v>
      </c>
      <c r="H27" s="576">
        <v>655</v>
      </c>
      <c r="I27" s="576">
        <v>604</v>
      </c>
      <c r="J27" s="576">
        <v>518</v>
      </c>
      <c r="K27" s="576">
        <v>475</v>
      </c>
      <c r="L27" s="576">
        <v>-86</v>
      </c>
      <c r="M27" s="576">
        <v>-43</v>
      </c>
      <c r="N27" s="587"/>
      <c r="O27" s="623" t="s">
        <v>778</v>
      </c>
      <c r="P27" s="576"/>
      <c r="Q27" s="576">
        <v>475</v>
      </c>
      <c r="R27" s="576"/>
      <c r="S27" s="576"/>
      <c r="T27" s="576"/>
      <c r="U27" s="576"/>
      <c r="V27" s="576"/>
      <c r="W27" s="576"/>
      <c r="X27" s="576"/>
    </row>
    <row r="28" spans="1:24" x14ac:dyDescent="0.35">
      <c r="A28">
        <v>2042</v>
      </c>
      <c r="B28" s="588" t="s">
        <v>533</v>
      </c>
      <c r="C28" s="576">
        <v>553</v>
      </c>
      <c r="D28" s="576">
        <v>548</v>
      </c>
      <c r="E28" s="576">
        <v>531</v>
      </c>
      <c r="F28" s="576">
        <v>544</v>
      </c>
      <c r="G28" s="576">
        <v>549</v>
      </c>
      <c r="H28" s="576">
        <v>550</v>
      </c>
      <c r="I28" s="576">
        <v>605</v>
      </c>
      <c r="J28" s="576">
        <v>604</v>
      </c>
      <c r="K28" s="576">
        <v>605</v>
      </c>
      <c r="L28" s="576">
        <v>-1</v>
      </c>
      <c r="M28" s="576">
        <v>1</v>
      </c>
      <c r="N28" s="587"/>
      <c r="O28" s="586"/>
      <c r="P28" s="576"/>
      <c r="Q28" s="576">
        <v>605</v>
      </c>
      <c r="R28" s="576"/>
      <c r="S28" s="576"/>
      <c r="T28" s="576"/>
      <c r="U28" s="576"/>
      <c r="V28" s="576"/>
      <c r="W28" s="576"/>
      <c r="X28" s="576"/>
    </row>
    <row r="29" spans="1:24" ht="29" x14ac:dyDescent="0.35">
      <c r="A29">
        <v>2051</v>
      </c>
      <c r="B29" s="588" t="s">
        <v>534</v>
      </c>
      <c r="C29" s="576">
        <v>473</v>
      </c>
      <c r="D29" s="576">
        <v>479</v>
      </c>
      <c r="E29" s="576">
        <v>432</v>
      </c>
      <c r="F29" s="576">
        <v>466</v>
      </c>
      <c r="G29" s="576">
        <v>487</v>
      </c>
      <c r="H29" s="576">
        <v>495</v>
      </c>
      <c r="I29" s="576">
        <v>529</v>
      </c>
      <c r="J29" s="576">
        <v>476</v>
      </c>
      <c r="K29" s="576">
        <v>423</v>
      </c>
      <c r="L29" s="576">
        <v>-53</v>
      </c>
      <c r="M29" s="576">
        <v>-53</v>
      </c>
      <c r="N29" s="587"/>
      <c r="O29" s="623" t="s">
        <v>777</v>
      </c>
      <c r="P29" s="576"/>
      <c r="Q29" s="616">
        <v>423</v>
      </c>
      <c r="R29" s="576"/>
      <c r="S29" s="576"/>
      <c r="T29" s="576"/>
      <c r="U29" s="576"/>
      <c r="V29" s="576"/>
      <c r="W29" s="576"/>
      <c r="X29" s="576"/>
    </row>
    <row r="30" spans="1:24" ht="29" x14ac:dyDescent="0.35">
      <c r="A30">
        <v>2061</v>
      </c>
      <c r="B30" s="588" t="s">
        <v>535</v>
      </c>
      <c r="C30" s="576">
        <v>688</v>
      </c>
      <c r="D30" s="576">
        <v>713</v>
      </c>
      <c r="E30" s="576">
        <v>648</v>
      </c>
      <c r="F30" s="576">
        <v>636</v>
      </c>
      <c r="G30" s="576">
        <v>640</v>
      </c>
      <c r="H30" s="576">
        <v>605</v>
      </c>
      <c r="I30" s="576">
        <v>628</v>
      </c>
      <c r="J30" s="576">
        <v>604</v>
      </c>
      <c r="K30" s="576">
        <v>595</v>
      </c>
      <c r="L30" s="576">
        <v>-24</v>
      </c>
      <c r="M30" s="576">
        <v>-9</v>
      </c>
      <c r="N30" s="587"/>
      <c r="O30" s="626" t="s">
        <v>776</v>
      </c>
      <c r="P30" s="576"/>
      <c r="Q30" s="576">
        <v>595</v>
      </c>
      <c r="R30" s="576"/>
      <c r="S30" s="576"/>
      <c r="T30" s="576"/>
      <c r="U30" s="576"/>
      <c r="V30" s="576"/>
      <c r="W30" s="576"/>
      <c r="X30" s="576"/>
    </row>
    <row r="31" spans="1:24" ht="29" x14ac:dyDescent="0.35">
      <c r="A31">
        <v>2081</v>
      </c>
      <c r="B31" s="588" t="s">
        <v>536</v>
      </c>
      <c r="C31" s="576">
        <v>615</v>
      </c>
      <c r="D31" s="576">
        <v>641</v>
      </c>
      <c r="E31" s="576">
        <v>573</v>
      </c>
      <c r="F31" s="576">
        <v>547</v>
      </c>
      <c r="G31" s="576">
        <v>586</v>
      </c>
      <c r="H31" s="576">
        <v>623</v>
      </c>
      <c r="I31" s="576">
        <v>583</v>
      </c>
      <c r="J31" s="576">
        <v>531</v>
      </c>
      <c r="K31" s="576">
        <v>500</v>
      </c>
      <c r="L31" s="576">
        <v>-52</v>
      </c>
      <c r="M31" s="576">
        <v>-31</v>
      </c>
      <c r="N31" s="587"/>
      <c r="O31" s="623" t="s">
        <v>775</v>
      </c>
      <c r="P31" s="576"/>
      <c r="Q31" s="613">
        <v>500</v>
      </c>
      <c r="R31" s="576"/>
      <c r="S31" s="576"/>
      <c r="T31" s="576"/>
      <c r="U31" s="576"/>
      <c r="V31" s="576"/>
      <c r="W31" s="576"/>
      <c r="X31" s="576"/>
    </row>
    <row r="32" spans="1:24" ht="29" x14ac:dyDescent="0.35">
      <c r="A32">
        <v>2111</v>
      </c>
      <c r="B32" s="588" t="s">
        <v>537</v>
      </c>
      <c r="C32" s="576">
        <v>699</v>
      </c>
      <c r="D32" s="576">
        <v>692</v>
      </c>
      <c r="E32" s="576">
        <v>632</v>
      </c>
      <c r="F32" s="576">
        <v>632</v>
      </c>
      <c r="G32" s="576">
        <v>585</v>
      </c>
      <c r="H32" s="576">
        <v>601</v>
      </c>
      <c r="I32" s="576">
        <v>573</v>
      </c>
      <c r="J32" s="576">
        <v>525</v>
      </c>
      <c r="K32" s="576">
        <v>518</v>
      </c>
      <c r="L32" s="576">
        <v>-48</v>
      </c>
      <c r="M32" s="576">
        <v>-7</v>
      </c>
      <c r="N32" s="587"/>
      <c r="O32" s="623" t="s">
        <v>774</v>
      </c>
      <c r="P32" s="576"/>
      <c r="Q32" s="576">
        <v>518</v>
      </c>
      <c r="R32" s="576"/>
      <c r="S32" s="576"/>
      <c r="T32" s="576"/>
      <c r="U32" s="576"/>
      <c r="V32" s="576"/>
      <c r="W32" s="576"/>
      <c r="X32" s="576"/>
    </row>
    <row r="33" spans="1:24" ht="29" x14ac:dyDescent="0.35">
      <c r="A33">
        <v>2121</v>
      </c>
      <c r="B33" s="588" t="s">
        <v>538</v>
      </c>
      <c r="C33" s="576">
        <v>562</v>
      </c>
      <c r="D33" s="576">
        <v>595</v>
      </c>
      <c r="E33" s="576">
        <v>529</v>
      </c>
      <c r="F33" s="576">
        <v>579</v>
      </c>
      <c r="G33" s="576">
        <v>555</v>
      </c>
      <c r="H33" s="576">
        <v>578</v>
      </c>
      <c r="I33" s="576">
        <v>599</v>
      </c>
      <c r="J33" s="576">
        <v>590</v>
      </c>
      <c r="K33" s="578">
        <v>592</v>
      </c>
      <c r="L33" s="576">
        <v>-9</v>
      </c>
      <c r="M33" s="576">
        <v>2</v>
      </c>
      <c r="N33" s="587"/>
      <c r="O33" s="625" t="s">
        <v>773</v>
      </c>
      <c r="P33" s="576"/>
      <c r="Q33" s="578">
        <v>592</v>
      </c>
      <c r="R33" s="576"/>
      <c r="S33" s="576"/>
      <c r="T33" s="576"/>
      <c r="U33" s="576"/>
      <c r="V33" s="576"/>
      <c r="W33" s="576"/>
      <c r="X33" s="576"/>
    </row>
    <row r="34" spans="1:24" x14ac:dyDescent="0.35">
      <c r="A34">
        <v>2131</v>
      </c>
      <c r="B34" s="588" t="s">
        <v>539</v>
      </c>
      <c r="C34" s="576">
        <v>478</v>
      </c>
      <c r="D34" s="576">
        <v>432</v>
      </c>
      <c r="E34" s="576">
        <v>405</v>
      </c>
      <c r="F34" s="576">
        <v>462</v>
      </c>
      <c r="G34" s="576">
        <v>506</v>
      </c>
      <c r="H34" s="576">
        <v>558</v>
      </c>
      <c r="I34" s="576">
        <v>573</v>
      </c>
      <c r="J34" s="576">
        <v>601</v>
      </c>
      <c r="K34" s="576">
        <v>579</v>
      </c>
      <c r="L34" s="576">
        <v>28</v>
      </c>
      <c r="M34" s="576">
        <v>-22</v>
      </c>
      <c r="N34" s="587"/>
      <c r="O34" s="586"/>
      <c r="P34" s="576"/>
      <c r="Q34" s="576">
        <v>579</v>
      </c>
      <c r="R34" s="576"/>
      <c r="S34" s="576"/>
      <c r="T34" s="576"/>
      <c r="U34" s="576"/>
      <c r="V34" s="576"/>
      <c r="W34" s="576"/>
      <c r="X34" s="576"/>
    </row>
    <row r="35" spans="1:24" ht="29" x14ac:dyDescent="0.35">
      <c r="A35">
        <v>2151</v>
      </c>
      <c r="B35" s="588" t="s">
        <v>540</v>
      </c>
      <c r="C35" s="576">
        <v>644</v>
      </c>
      <c r="D35" s="576">
        <v>646</v>
      </c>
      <c r="E35" s="576">
        <v>560</v>
      </c>
      <c r="F35" s="576">
        <v>615</v>
      </c>
      <c r="G35" s="576">
        <v>643</v>
      </c>
      <c r="H35" s="576">
        <v>682</v>
      </c>
      <c r="I35" s="576">
        <v>680</v>
      </c>
      <c r="J35" s="576">
        <v>682</v>
      </c>
      <c r="K35" s="576">
        <v>680</v>
      </c>
      <c r="L35" s="576">
        <v>2</v>
      </c>
      <c r="M35" s="576">
        <v>-2</v>
      </c>
      <c r="N35" s="587"/>
      <c r="O35" s="623" t="s">
        <v>772</v>
      </c>
      <c r="P35" s="576"/>
      <c r="Q35" s="576">
        <v>680</v>
      </c>
      <c r="R35" s="576"/>
      <c r="S35" s="576"/>
      <c r="T35" s="576"/>
      <c r="U35" s="576"/>
      <c r="V35" s="576"/>
      <c r="W35" s="576"/>
      <c r="X35" s="576"/>
    </row>
    <row r="36" spans="1:24" x14ac:dyDescent="0.35">
      <c r="A36">
        <v>2161</v>
      </c>
      <c r="B36" s="588" t="s">
        <v>541</v>
      </c>
      <c r="C36" s="576">
        <v>777</v>
      </c>
      <c r="D36" s="576">
        <v>740</v>
      </c>
      <c r="E36" s="576">
        <v>669</v>
      </c>
      <c r="F36" s="576">
        <v>634</v>
      </c>
      <c r="G36" s="576">
        <v>621</v>
      </c>
      <c r="H36" s="576">
        <v>648</v>
      </c>
      <c r="I36" s="576">
        <v>687</v>
      </c>
      <c r="J36" s="576">
        <v>676</v>
      </c>
      <c r="K36" s="576">
        <v>652</v>
      </c>
      <c r="L36" s="576">
        <v>-11</v>
      </c>
      <c r="M36" s="576">
        <v>-24</v>
      </c>
      <c r="N36" s="587"/>
      <c r="O36" s="623" t="s">
        <v>771</v>
      </c>
      <c r="P36" s="576"/>
      <c r="Q36" s="576">
        <v>652</v>
      </c>
      <c r="R36" s="576"/>
      <c r="S36" s="576"/>
      <c r="T36" s="576"/>
      <c r="U36" s="576"/>
      <c r="V36" s="576"/>
      <c r="W36" s="576"/>
      <c r="X36" s="576"/>
    </row>
    <row r="37" spans="1:24" x14ac:dyDescent="0.35">
      <c r="A37">
        <v>2171</v>
      </c>
      <c r="B37" s="588" t="s">
        <v>542</v>
      </c>
      <c r="C37" s="576">
        <v>692</v>
      </c>
      <c r="D37" s="576">
        <v>699</v>
      </c>
      <c r="E37" s="576">
        <v>561</v>
      </c>
      <c r="F37" s="576">
        <v>624</v>
      </c>
      <c r="G37" s="576">
        <v>699</v>
      </c>
      <c r="H37" s="576">
        <v>647</v>
      </c>
      <c r="I37" s="576">
        <v>721</v>
      </c>
      <c r="J37" s="576">
        <v>737</v>
      </c>
      <c r="K37" s="576">
        <v>745</v>
      </c>
      <c r="L37" s="576">
        <v>16</v>
      </c>
      <c r="M37" s="576">
        <v>8</v>
      </c>
      <c r="N37" s="587"/>
      <c r="O37" s="623" t="s">
        <v>770</v>
      </c>
      <c r="P37" s="576"/>
      <c r="Q37" s="576">
        <v>745</v>
      </c>
      <c r="R37" s="576"/>
      <c r="S37" s="576"/>
      <c r="T37" s="576"/>
      <c r="U37" s="576"/>
      <c r="V37" s="576"/>
      <c r="W37" s="576"/>
      <c r="X37" s="576"/>
    </row>
    <row r="38" spans="1:24" x14ac:dyDescent="0.35">
      <c r="A38">
        <v>2191</v>
      </c>
      <c r="B38" s="588" t="s">
        <v>543</v>
      </c>
      <c r="C38" s="576">
        <v>728</v>
      </c>
      <c r="D38" s="576">
        <v>722</v>
      </c>
      <c r="E38" s="576">
        <v>679</v>
      </c>
      <c r="F38" s="576">
        <v>724</v>
      </c>
      <c r="G38" s="576">
        <v>729</v>
      </c>
      <c r="H38" s="576">
        <v>851</v>
      </c>
      <c r="I38" s="576">
        <v>856</v>
      </c>
      <c r="J38" s="576">
        <v>834</v>
      </c>
      <c r="K38" s="576">
        <v>834</v>
      </c>
      <c r="L38" s="576">
        <v>-22</v>
      </c>
      <c r="M38" s="576">
        <v>0</v>
      </c>
      <c r="N38" s="587"/>
      <c r="O38" s="623" t="s">
        <v>769</v>
      </c>
      <c r="P38" s="576"/>
      <c r="Q38" s="576">
        <v>834</v>
      </c>
      <c r="R38" s="576"/>
      <c r="S38" s="576"/>
      <c r="T38" s="576"/>
      <c r="U38" s="576"/>
      <c r="V38" s="576"/>
      <c r="W38" s="576"/>
      <c r="X38" s="576"/>
    </row>
    <row r="39" spans="1:24" x14ac:dyDescent="0.35">
      <c r="A39">
        <v>2212</v>
      </c>
      <c r="B39" s="588" t="s">
        <v>544</v>
      </c>
      <c r="C39" s="576">
        <v>769</v>
      </c>
      <c r="D39" s="576">
        <v>773</v>
      </c>
      <c r="E39" s="576">
        <v>671</v>
      </c>
      <c r="F39" s="576">
        <v>728</v>
      </c>
      <c r="G39" s="576">
        <v>799</v>
      </c>
      <c r="H39" s="576">
        <v>867</v>
      </c>
      <c r="I39" s="576">
        <v>984</v>
      </c>
      <c r="J39" s="576">
        <v>946</v>
      </c>
      <c r="K39" s="576">
        <v>977</v>
      </c>
      <c r="L39" s="576">
        <v>-38</v>
      </c>
      <c r="M39" s="576">
        <v>31</v>
      </c>
      <c r="N39" s="587"/>
      <c r="O39" s="586"/>
      <c r="P39" s="576"/>
      <c r="Q39" s="576">
        <v>977</v>
      </c>
      <c r="R39" s="576"/>
      <c r="S39" s="576"/>
      <c r="T39" s="576"/>
      <c r="U39" s="576"/>
      <c r="V39" s="576"/>
      <c r="W39" s="576"/>
      <c r="X39" s="576"/>
    </row>
    <row r="40" spans="1:24" ht="29" x14ac:dyDescent="0.35">
      <c r="A40">
        <v>2221</v>
      </c>
      <c r="B40" s="588" t="s">
        <v>545</v>
      </c>
      <c r="C40" s="576">
        <v>820</v>
      </c>
      <c r="D40" s="576">
        <v>798</v>
      </c>
      <c r="E40" s="576">
        <v>700</v>
      </c>
      <c r="F40" s="576">
        <v>691</v>
      </c>
      <c r="G40" s="576">
        <v>759</v>
      </c>
      <c r="H40" s="576">
        <v>867</v>
      </c>
      <c r="I40" s="576">
        <v>907</v>
      </c>
      <c r="J40" s="576">
        <v>927</v>
      </c>
      <c r="K40" s="576">
        <v>947</v>
      </c>
      <c r="L40" s="576">
        <v>20</v>
      </c>
      <c r="M40" s="576">
        <v>20</v>
      </c>
      <c r="N40" s="587"/>
      <c r="O40" s="623" t="s">
        <v>768</v>
      </c>
      <c r="P40" s="576"/>
      <c r="Q40" s="576">
        <v>947</v>
      </c>
      <c r="R40" s="576"/>
      <c r="S40" s="576"/>
      <c r="T40" s="576"/>
      <c r="U40" s="576"/>
      <c r="V40" s="576"/>
      <c r="W40" s="576"/>
      <c r="X40" s="576"/>
    </row>
    <row r="41" spans="1:24" ht="29" x14ac:dyDescent="0.35">
      <c r="A41">
        <v>3041</v>
      </c>
      <c r="B41" s="588" t="s">
        <v>546</v>
      </c>
      <c r="C41" s="576">
        <v>456</v>
      </c>
      <c r="D41" s="576">
        <v>461</v>
      </c>
      <c r="E41" s="576">
        <v>393</v>
      </c>
      <c r="F41" s="576">
        <v>428</v>
      </c>
      <c r="G41" s="576">
        <v>459</v>
      </c>
      <c r="H41" s="576">
        <v>468</v>
      </c>
      <c r="I41" s="576">
        <v>494</v>
      </c>
      <c r="J41" s="576">
        <v>525</v>
      </c>
      <c r="K41" s="576">
        <v>515</v>
      </c>
      <c r="L41" s="576">
        <v>31</v>
      </c>
      <c r="M41" s="576">
        <v>-10</v>
      </c>
      <c r="N41" s="587"/>
      <c r="O41" s="623" t="s">
        <v>767</v>
      </c>
      <c r="P41" s="576"/>
      <c r="Q41" s="576">
        <v>515</v>
      </c>
      <c r="R41" s="576"/>
      <c r="S41" s="576"/>
      <c r="T41" s="576"/>
      <c r="U41" s="576"/>
      <c r="V41" s="576"/>
      <c r="W41" s="576"/>
      <c r="X41" s="576"/>
    </row>
    <row r="42" spans="1:24" x14ac:dyDescent="0.35">
      <c r="A42">
        <v>3061</v>
      </c>
      <c r="B42" s="588" t="s">
        <v>547</v>
      </c>
      <c r="C42" s="576">
        <v>371</v>
      </c>
      <c r="D42" s="576">
        <v>366</v>
      </c>
      <c r="E42" s="576">
        <v>345</v>
      </c>
      <c r="F42" s="576">
        <v>359</v>
      </c>
      <c r="G42" s="576">
        <v>403</v>
      </c>
      <c r="H42" s="576">
        <v>397</v>
      </c>
      <c r="I42" s="576">
        <v>390</v>
      </c>
      <c r="J42" s="576">
        <v>373</v>
      </c>
      <c r="K42" s="576">
        <v>356</v>
      </c>
      <c r="L42" s="576">
        <v>-17</v>
      </c>
      <c r="M42" s="576">
        <v>-17</v>
      </c>
      <c r="N42" s="587"/>
      <c r="O42" s="624" t="s">
        <v>766</v>
      </c>
      <c r="P42" s="576"/>
      <c r="Q42" s="576">
        <v>356</v>
      </c>
      <c r="R42" s="576"/>
      <c r="S42" s="576"/>
      <c r="T42" s="576"/>
      <c r="U42" s="576"/>
      <c r="V42" s="576"/>
      <c r="W42" s="576"/>
      <c r="X42" s="576"/>
    </row>
    <row r="43" spans="1:24" x14ac:dyDescent="0.35">
      <c r="A43">
        <v>3071</v>
      </c>
      <c r="B43" s="588" t="s">
        <v>548</v>
      </c>
      <c r="C43" s="576">
        <v>538</v>
      </c>
      <c r="D43" s="576">
        <v>563</v>
      </c>
      <c r="E43" s="576">
        <v>549</v>
      </c>
      <c r="F43" s="576">
        <v>516</v>
      </c>
      <c r="G43" s="576">
        <v>500</v>
      </c>
      <c r="H43" s="576">
        <v>514</v>
      </c>
      <c r="I43" s="576">
        <v>493</v>
      </c>
      <c r="J43" s="576">
        <v>464</v>
      </c>
      <c r="K43" s="576">
        <v>432</v>
      </c>
      <c r="L43" s="576">
        <v>-29</v>
      </c>
      <c r="M43" s="576">
        <v>-32</v>
      </c>
      <c r="N43" s="587"/>
      <c r="O43" s="586"/>
      <c r="P43" s="576"/>
      <c r="Q43" s="576">
        <v>432</v>
      </c>
      <c r="R43" s="576"/>
      <c r="S43" s="576"/>
      <c r="T43" s="576"/>
      <c r="U43" s="576"/>
      <c r="V43" s="576"/>
      <c r="W43" s="576"/>
      <c r="X43" s="576"/>
    </row>
    <row r="44" spans="1:24" x14ac:dyDescent="0.35">
      <c r="A44">
        <v>3091</v>
      </c>
      <c r="B44" s="588" t="s">
        <v>549</v>
      </c>
      <c r="C44" s="576">
        <v>552</v>
      </c>
      <c r="D44" s="576">
        <v>523</v>
      </c>
      <c r="E44" s="576">
        <v>480</v>
      </c>
      <c r="F44" s="576">
        <v>487</v>
      </c>
      <c r="G44" s="576">
        <v>488</v>
      </c>
      <c r="H44" s="576">
        <v>484</v>
      </c>
      <c r="I44" s="576">
        <v>464</v>
      </c>
      <c r="J44" s="576">
        <v>444</v>
      </c>
      <c r="K44" s="576">
        <v>409</v>
      </c>
      <c r="L44" s="576">
        <v>-20</v>
      </c>
      <c r="M44" s="576">
        <v>-35</v>
      </c>
      <c r="N44" s="587"/>
      <c r="O44" s="586"/>
      <c r="P44" s="576"/>
      <c r="Q44" s="576">
        <v>409</v>
      </c>
      <c r="R44" s="576"/>
      <c r="S44" s="576"/>
      <c r="T44" s="576"/>
      <c r="U44" s="576"/>
      <c r="V44" s="576"/>
      <c r="W44" s="576"/>
      <c r="X44" s="576"/>
    </row>
    <row r="45" spans="1:24" x14ac:dyDescent="0.35">
      <c r="A45">
        <v>3101</v>
      </c>
      <c r="B45" s="588" t="s">
        <v>550</v>
      </c>
      <c r="C45" s="576">
        <v>711</v>
      </c>
      <c r="D45" s="576">
        <v>733</v>
      </c>
      <c r="E45" s="576">
        <v>596</v>
      </c>
      <c r="F45" s="576">
        <v>630</v>
      </c>
      <c r="G45" s="576">
        <v>598</v>
      </c>
      <c r="H45" s="576">
        <v>583</v>
      </c>
      <c r="I45" s="576">
        <v>620</v>
      </c>
      <c r="J45" s="576">
        <v>598</v>
      </c>
      <c r="K45" s="576">
        <v>589</v>
      </c>
      <c r="L45" s="576">
        <v>-22</v>
      </c>
      <c r="M45" s="576">
        <v>-9</v>
      </c>
      <c r="N45" s="587"/>
      <c r="O45" s="586" t="s">
        <v>729</v>
      </c>
      <c r="P45" s="576"/>
      <c r="Q45" s="576">
        <v>589</v>
      </c>
      <c r="R45" s="576"/>
      <c r="S45" s="576"/>
      <c r="T45" s="576"/>
      <c r="U45" s="576"/>
      <c r="V45" s="576"/>
      <c r="W45" s="576"/>
      <c r="X45" s="576"/>
    </row>
    <row r="46" spans="1:24" ht="29" x14ac:dyDescent="0.35">
      <c r="A46">
        <v>3121</v>
      </c>
      <c r="B46" s="588" t="s">
        <v>551</v>
      </c>
      <c r="C46" s="576">
        <v>675</v>
      </c>
      <c r="D46" s="576">
        <v>675</v>
      </c>
      <c r="E46" s="576">
        <v>594</v>
      </c>
      <c r="F46" s="576">
        <v>595</v>
      </c>
      <c r="G46" s="576">
        <v>600</v>
      </c>
      <c r="H46" s="576">
        <v>601</v>
      </c>
      <c r="I46" s="576">
        <v>585</v>
      </c>
      <c r="J46" s="576">
        <v>523</v>
      </c>
      <c r="K46" s="576">
        <v>504</v>
      </c>
      <c r="L46" s="576">
        <v>-62</v>
      </c>
      <c r="M46" s="576">
        <v>-19</v>
      </c>
      <c r="N46" s="587"/>
      <c r="O46" s="623" t="s">
        <v>765</v>
      </c>
      <c r="P46" s="576"/>
      <c r="Q46" s="576">
        <v>504</v>
      </c>
      <c r="R46" s="576"/>
      <c r="S46" s="576"/>
      <c r="T46" s="576"/>
      <c r="U46" s="576"/>
      <c r="V46" s="576"/>
      <c r="W46" s="576"/>
      <c r="X46" s="576"/>
    </row>
    <row r="47" spans="1:24" x14ac:dyDescent="0.35">
      <c r="A47">
        <v>3131</v>
      </c>
      <c r="B47" s="588" t="s">
        <v>552</v>
      </c>
      <c r="C47" s="576">
        <v>647</v>
      </c>
      <c r="D47" s="576">
        <v>646</v>
      </c>
      <c r="E47" s="576">
        <v>568</v>
      </c>
      <c r="F47" s="576">
        <v>594</v>
      </c>
      <c r="G47" s="576">
        <v>631</v>
      </c>
      <c r="H47" s="576">
        <v>607</v>
      </c>
      <c r="I47" s="576">
        <v>579</v>
      </c>
      <c r="J47" s="576">
        <v>533</v>
      </c>
      <c r="K47" s="576">
        <v>503</v>
      </c>
      <c r="L47" s="576">
        <v>-46</v>
      </c>
      <c r="M47" s="576">
        <v>-30</v>
      </c>
      <c r="N47" s="587"/>
      <c r="O47" s="586" t="s">
        <v>729</v>
      </c>
      <c r="P47" s="576"/>
      <c r="Q47" s="576">
        <v>503</v>
      </c>
      <c r="R47" s="576"/>
      <c r="S47" s="576"/>
      <c r="T47" s="576"/>
      <c r="U47" s="576"/>
      <c r="V47" s="576"/>
      <c r="W47" s="576"/>
      <c r="X47" s="576"/>
    </row>
    <row r="48" spans="1:24" ht="29" x14ac:dyDescent="0.35">
      <c r="A48">
        <v>3151</v>
      </c>
      <c r="B48" s="588" t="s">
        <v>553</v>
      </c>
      <c r="C48" s="589">
        <v>1089</v>
      </c>
      <c r="D48" s="589">
        <v>1196</v>
      </c>
      <c r="E48" s="576">
        <v>795</v>
      </c>
      <c r="F48" s="576">
        <v>673</v>
      </c>
      <c r="G48" s="576">
        <v>693</v>
      </c>
      <c r="H48" s="576">
        <v>712</v>
      </c>
      <c r="I48" s="576">
        <v>690</v>
      </c>
      <c r="J48" s="576">
        <v>673</v>
      </c>
      <c r="K48" s="613">
        <v>650</v>
      </c>
      <c r="L48" s="576">
        <v>-17</v>
      </c>
      <c r="M48" s="576">
        <v>87</v>
      </c>
      <c r="N48" s="587"/>
      <c r="O48" s="621" t="s">
        <v>764</v>
      </c>
      <c r="P48" s="576"/>
      <c r="Q48" s="576">
        <v>650</v>
      </c>
      <c r="R48" s="576"/>
      <c r="S48" s="576"/>
      <c r="T48" s="576"/>
      <c r="U48" s="576"/>
      <c r="V48" s="576"/>
      <c r="W48" s="576"/>
      <c r="X48" s="576"/>
    </row>
    <row r="49" spans="1:24" ht="43.5" x14ac:dyDescent="0.35">
      <c r="A49">
        <v>3161</v>
      </c>
      <c r="B49" s="588" t="s">
        <v>554</v>
      </c>
      <c r="C49" s="576"/>
      <c r="D49" s="576"/>
      <c r="E49" s="576">
        <v>384</v>
      </c>
      <c r="F49" s="576">
        <v>585</v>
      </c>
      <c r="G49" s="576">
        <v>695</v>
      </c>
      <c r="H49" s="576">
        <v>784</v>
      </c>
      <c r="I49" s="576">
        <v>885</v>
      </c>
      <c r="J49" s="576">
        <v>950</v>
      </c>
      <c r="K49" s="576">
        <v>994</v>
      </c>
      <c r="L49" s="576">
        <v>65</v>
      </c>
      <c r="M49" s="576">
        <v>44</v>
      </c>
      <c r="N49" s="587"/>
      <c r="O49" s="622" t="s">
        <v>763</v>
      </c>
      <c r="P49" s="576"/>
      <c r="Q49" s="616">
        <v>994</v>
      </c>
      <c r="R49" s="576"/>
      <c r="S49" s="576"/>
      <c r="T49" s="576"/>
      <c r="U49" s="576"/>
      <c r="V49" s="576"/>
      <c r="W49" s="576"/>
      <c r="X49" s="576"/>
    </row>
    <row r="50" spans="1:24" x14ac:dyDescent="0.35">
      <c r="A50">
        <v>4031</v>
      </c>
      <c r="B50" s="588" t="s">
        <v>555</v>
      </c>
      <c r="C50" s="576">
        <v>465</v>
      </c>
      <c r="D50" s="576">
        <v>463</v>
      </c>
      <c r="E50" s="576">
        <v>428</v>
      </c>
      <c r="F50" s="576">
        <v>438</v>
      </c>
      <c r="G50" s="576">
        <v>435</v>
      </c>
      <c r="H50" s="576">
        <v>431</v>
      </c>
      <c r="I50" s="576">
        <v>382</v>
      </c>
      <c r="J50" s="576">
        <v>364</v>
      </c>
      <c r="K50" s="662">
        <v>364</v>
      </c>
      <c r="L50" s="576">
        <v>-18</v>
      </c>
      <c r="M50" s="576">
        <v>12</v>
      </c>
      <c r="N50" s="587"/>
      <c r="O50" s="586" t="s">
        <v>814</v>
      </c>
      <c r="P50" s="576"/>
      <c r="Q50" s="662">
        <v>364</v>
      </c>
      <c r="R50" s="576"/>
      <c r="S50" s="576"/>
      <c r="T50" s="576"/>
      <c r="U50" s="576"/>
      <c r="V50" s="576"/>
      <c r="W50" s="576"/>
      <c r="X50" s="576"/>
    </row>
    <row r="51" spans="1:24" x14ac:dyDescent="0.35">
      <c r="A51">
        <v>4041</v>
      </c>
      <c r="B51" s="588" t="s">
        <v>556</v>
      </c>
      <c r="C51" s="576">
        <v>825</v>
      </c>
      <c r="D51" s="576">
        <v>804</v>
      </c>
      <c r="E51" s="576">
        <v>682</v>
      </c>
      <c r="F51" s="576">
        <v>641</v>
      </c>
      <c r="G51" s="576">
        <v>669</v>
      </c>
      <c r="H51" s="576">
        <v>619</v>
      </c>
      <c r="I51" s="576">
        <v>569</v>
      </c>
      <c r="J51" s="576">
        <v>493</v>
      </c>
      <c r="K51" s="576">
        <v>461</v>
      </c>
      <c r="L51" s="576">
        <v>-76</v>
      </c>
      <c r="M51" s="576">
        <v>-32</v>
      </c>
      <c r="N51" s="587"/>
      <c r="O51" s="586"/>
      <c r="P51" s="576"/>
      <c r="Q51" s="576">
        <v>461</v>
      </c>
      <c r="R51" s="576"/>
      <c r="S51" s="576"/>
      <c r="T51" s="576"/>
      <c r="U51" s="576"/>
      <c r="V51" s="576"/>
      <c r="W51" s="576"/>
      <c r="X51" s="576"/>
    </row>
    <row r="52" spans="1:24" x14ac:dyDescent="0.35">
      <c r="A52">
        <v>4051</v>
      </c>
      <c r="B52" s="588" t="s">
        <v>557</v>
      </c>
      <c r="C52" s="576">
        <v>536</v>
      </c>
      <c r="D52" s="576">
        <v>533</v>
      </c>
      <c r="E52" s="576">
        <v>469</v>
      </c>
      <c r="F52" s="576">
        <v>464</v>
      </c>
      <c r="G52" s="576">
        <v>450</v>
      </c>
      <c r="H52" s="576">
        <v>420</v>
      </c>
      <c r="I52" s="576">
        <v>415</v>
      </c>
      <c r="J52" s="576">
        <v>412</v>
      </c>
      <c r="K52" s="613">
        <v>402</v>
      </c>
      <c r="L52" s="576">
        <v>-3</v>
      </c>
      <c r="M52" s="576">
        <v>20</v>
      </c>
      <c r="N52" s="587"/>
      <c r="O52" s="621" t="s">
        <v>762</v>
      </c>
      <c r="P52" s="576"/>
      <c r="Q52" s="576">
        <v>402</v>
      </c>
      <c r="R52" s="576"/>
      <c r="S52" s="576"/>
      <c r="T52" s="576"/>
      <c r="U52" s="576"/>
      <c r="V52" s="576"/>
      <c r="W52" s="576"/>
      <c r="X52" s="576"/>
    </row>
    <row r="53" spans="1:24" x14ac:dyDescent="0.35">
      <c r="A53">
        <v>4071</v>
      </c>
      <c r="B53" s="588" t="s">
        <v>558</v>
      </c>
      <c r="C53" s="576">
        <v>506</v>
      </c>
      <c r="D53" s="576">
        <v>504</v>
      </c>
      <c r="E53" s="576">
        <v>487</v>
      </c>
      <c r="F53" s="576">
        <v>498</v>
      </c>
      <c r="G53" s="576">
        <v>506</v>
      </c>
      <c r="H53" s="576">
        <v>505</v>
      </c>
      <c r="I53" s="576">
        <v>481</v>
      </c>
      <c r="J53" s="576">
        <v>480</v>
      </c>
      <c r="K53" s="613">
        <v>480</v>
      </c>
      <c r="L53" s="576">
        <v>-1</v>
      </c>
      <c r="M53" s="576">
        <v>-13</v>
      </c>
      <c r="N53" s="587"/>
      <c r="O53" s="621" t="s">
        <v>761</v>
      </c>
      <c r="P53" s="576"/>
      <c r="Q53" s="576">
        <v>480</v>
      </c>
      <c r="R53" s="576"/>
      <c r="S53" s="576"/>
      <c r="T53" s="576"/>
      <c r="U53" s="576"/>
      <c r="V53" s="576"/>
      <c r="W53" s="576"/>
      <c r="X53" s="576"/>
    </row>
    <row r="54" spans="1:24" x14ac:dyDescent="0.35">
      <c r="A54">
        <v>4121</v>
      </c>
      <c r="B54" s="588" t="s">
        <v>559</v>
      </c>
      <c r="C54" s="576">
        <v>664</v>
      </c>
      <c r="D54" s="576">
        <v>670</v>
      </c>
      <c r="E54" s="576">
        <v>593</v>
      </c>
      <c r="F54" s="576">
        <v>614</v>
      </c>
      <c r="G54" s="576">
        <v>626</v>
      </c>
      <c r="H54" s="576">
        <v>628</v>
      </c>
      <c r="I54" s="576">
        <v>636</v>
      </c>
      <c r="J54" s="576">
        <v>591</v>
      </c>
      <c r="K54" s="613">
        <v>581</v>
      </c>
      <c r="L54" s="576">
        <v>-45</v>
      </c>
      <c r="M54" s="576">
        <v>-45</v>
      </c>
      <c r="N54" s="587"/>
      <c r="O54" s="621" t="s">
        <v>760</v>
      </c>
      <c r="P54" s="576"/>
      <c r="Q54" s="576">
        <v>581</v>
      </c>
      <c r="R54" s="576"/>
      <c r="S54" s="576"/>
      <c r="T54" s="576"/>
      <c r="U54" s="576"/>
      <c r="V54" s="576"/>
      <c r="W54" s="576"/>
      <c r="X54" s="576"/>
    </row>
    <row r="55" spans="1:24" ht="29" x14ac:dyDescent="0.35">
      <c r="A55">
        <v>5012</v>
      </c>
      <c r="B55" s="588" t="s">
        <v>560</v>
      </c>
      <c r="C55" s="576">
        <v>380</v>
      </c>
      <c r="D55" s="576">
        <v>345</v>
      </c>
      <c r="E55" s="576">
        <v>263</v>
      </c>
      <c r="F55" s="576">
        <v>263</v>
      </c>
      <c r="G55" s="576">
        <v>288</v>
      </c>
      <c r="H55" s="576">
        <v>268</v>
      </c>
      <c r="I55" s="576">
        <v>275</v>
      </c>
      <c r="J55" s="576">
        <v>276</v>
      </c>
      <c r="K55" s="613">
        <v>251</v>
      </c>
      <c r="L55" s="576">
        <v>1</v>
      </c>
      <c r="M55" s="576">
        <v>5</v>
      </c>
      <c r="N55" s="587"/>
      <c r="O55" s="618" t="s">
        <v>759</v>
      </c>
      <c r="P55" s="576"/>
      <c r="Q55" s="576">
        <v>251</v>
      </c>
      <c r="R55" s="576"/>
      <c r="S55" s="576"/>
      <c r="T55" s="576"/>
      <c r="U55" s="576"/>
      <c r="V55" s="576"/>
      <c r="W55" s="576"/>
      <c r="X55" s="576"/>
    </row>
    <row r="56" spans="1:24" x14ac:dyDescent="0.35">
      <c r="A56">
        <v>5021</v>
      </c>
      <c r="B56" s="588" t="s">
        <v>561</v>
      </c>
      <c r="C56" s="576">
        <v>387</v>
      </c>
      <c r="D56" s="576">
        <v>404</v>
      </c>
      <c r="E56" s="576">
        <v>395</v>
      </c>
      <c r="F56" s="576">
        <v>406</v>
      </c>
      <c r="G56" s="576">
        <v>403</v>
      </c>
      <c r="H56" s="576">
        <v>407</v>
      </c>
      <c r="I56" s="576">
        <v>408</v>
      </c>
      <c r="J56" s="576">
        <v>410</v>
      </c>
      <c r="K56" s="613">
        <v>410</v>
      </c>
      <c r="L56" s="576">
        <v>2</v>
      </c>
      <c r="M56" s="576">
        <v>13</v>
      </c>
      <c r="N56" s="587"/>
      <c r="O56" s="608" t="s">
        <v>758</v>
      </c>
      <c r="P56" s="576"/>
      <c r="Q56" s="576">
        <v>410</v>
      </c>
      <c r="R56" s="576"/>
      <c r="S56" s="576"/>
      <c r="T56" s="576"/>
      <c r="U56" s="576"/>
      <c r="V56" s="576"/>
      <c r="W56" s="576"/>
      <c r="X56" s="576"/>
    </row>
    <row r="57" spans="1:24" ht="29" x14ac:dyDescent="0.35">
      <c r="A57">
        <v>5031</v>
      </c>
      <c r="B57" s="588" t="s">
        <v>562</v>
      </c>
      <c r="C57" s="576">
        <v>381</v>
      </c>
      <c r="D57" s="576">
        <v>360</v>
      </c>
      <c r="E57" s="576">
        <v>302</v>
      </c>
      <c r="F57" s="576">
        <v>278</v>
      </c>
      <c r="G57" s="576">
        <v>305</v>
      </c>
      <c r="H57" s="576">
        <v>295</v>
      </c>
      <c r="I57" s="576">
        <v>273</v>
      </c>
      <c r="J57" s="576">
        <v>266</v>
      </c>
      <c r="K57" s="576">
        <v>262</v>
      </c>
      <c r="L57" s="576">
        <v>-7</v>
      </c>
      <c r="M57" s="576">
        <v>-4</v>
      </c>
      <c r="N57" s="587"/>
      <c r="O57" s="586" t="s">
        <v>757</v>
      </c>
      <c r="P57" s="576"/>
      <c r="Q57" s="576">
        <v>262</v>
      </c>
      <c r="R57" s="576"/>
      <c r="S57" s="576"/>
      <c r="T57" s="576"/>
      <c r="U57" s="576"/>
      <c r="V57" s="576"/>
      <c r="W57" s="576"/>
      <c r="X57" s="576"/>
    </row>
    <row r="58" spans="1:24" ht="29" x14ac:dyDescent="0.35">
      <c r="A58">
        <v>6013</v>
      </c>
      <c r="B58" s="588" t="s">
        <v>563</v>
      </c>
      <c r="C58" s="576">
        <v>497</v>
      </c>
      <c r="D58" s="576">
        <v>502</v>
      </c>
      <c r="E58" s="576">
        <v>410</v>
      </c>
      <c r="F58" s="576">
        <v>444</v>
      </c>
      <c r="G58" s="576">
        <v>432</v>
      </c>
      <c r="H58" s="576">
        <v>435</v>
      </c>
      <c r="I58" s="576">
        <v>444</v>
      </c>
      <c r="J58" s="576">
        <v>425</v>
      </c>
      <c r="K58" s="613">
        <v>430</v>
      </c>
      <c r="L58" s="576">
        <v>-19</v>
      </c>
      <c r="M58" s="576">
        <v>77</v>
      </c>
      <c r="N58" s="587"/>
      <c r="O58" s="618" t="s">
        <v>756</v>
      </c>
      <c r="P58" s="576"/>
      <c r="Q58" s="613">
        <v>430</v>
      </c>
      <c r="R58" s="576"/>
      <c r="S58" s="576"/>
      <c r="T58" s="576"/>
      <c r="U58" s="576"/>
      <c r="V58" s="576"/>
      <c r="W58" s="576"/>
      <c r="X58" s="576"/>
    </row>
    <row r="59" spans="1:24" x14ac:dyDescent="0.35">
      <c r="A59">
        <v>6051</v>
      </c>
      <c r="B59" s="588" t="s">
        <v>564</v>
      </c>
      <c r="C59" s="576">
        <v>321</v>
      </c>
      <c r="D59" s="576">
        <v>338</v>
      </c>
      <c r="E59" s="576">
        <v>272</v>
      </c>
      <c r="F59" s="576">
        <v>299</v>
      </c>
      <c r="G59" s="576">
        <v>337</v>
      </c>
      <c r="H59" s="576">
        <v>327</v>
      </c>
      <c r="I59" s="576">
        <v>308</v>
      </c>
      <c r="J59" s="576">
        <v>309</v>
      </c>
      <c r="K59" s="613">
        <v>307</v>
      </c>
      <c r="L59" s="576">
        <v>1</v>
      </c>
      <c r="M59" s="576">
        <v>6</v>
      </c>
      <c r="N59" s="587"/>
      <c r="O59" s="608" t="s">
        <v>755</v>
      </c>
      <c r="P59" s="576"/>
      <c r="Q59" s="576">
        <v>307</v>
      </c>
      <c r="R59" s="576"/>
      <c r="S59" s="576"/>
      <c r="T59" s="576"/>
      <c r="U59" s="576"/>
      <c r="V59" s="576"/>
      <c r="W59" s="576"/>
      <c r="X59" s="576"/>
    </row>
    <row r="60" spans="1:24" ht="29" x14ac:dyDescent="0.35">
      <c r="A60">
        <v>6061</v>
      </c>
      <c r="B60" s="588" t="s">
        <v>565</v>
      </c>
      <c r="C60" s="576">
        <v>460</v>
      </c>
      <c r="D60" s="576">
        <v>461</v>
      </c>
      <c r="E60" s="576">
        <v>438</v>
      </c>
      <c r="F60" s="576">
        <v>408</v>
      </c>
      <c r="G60" s="576">
        <v>442</v>
      </c>
      <c r="H60" s="576">
        <v>419</v>
      </c>
      <c r="I60" s="576">
        <v>404</v>
      </c>
      <c r="J60" s="576">
        <v>406</v>
      </c>
      <c r="K60" s="613">
        <v>406</v>
      </c>
      <c r="L60" s="576">
        <v>2</v>
      </c>
      <c r="M60" s="576">
        <v>49</v>
      </c>
      <c r="N60" s="587"/>
      <c r="O60" s="608" t="s">
        <v>754</v>
      </c>
      <c r="P60" s="576"/>
      <c r="Q60" s="613">
        <v>406</v>
      </c>
      <c r="R60" s="576"/>
      <c r="S60" s="576"/>
      <c r="T60" s="576"/>
      <c r="U60" s="576"/>
      <c r="V60" s="576"/>
      <c r="W60" s="576"/>
      <c r="X60" s="576"/>
    </row>
    <row r="61" spans="1:24" x14ac:dyDescent="0.35">
      <c r="A61">
        <v>6071</v>
      </c>
      <c r="B61" s="588" t="s">
        <v>566</v>
      </c>
      <c r="C61" s="576">
        <v>532</v>
      </c>
      <c r="D61" s="576">
        <v>559</v>
      </c>
      <c r="E61" s="576">
        <v>508</v>
      </c>
      <c r="F61" s="576">
        <v>538</v>
      </c>
      <c r="G61" s="576">
        <v>554</v>
      </c>
      <c r="H61" s="576">
        <v>529</v>
      </c>
      <c r="I61" s="576">
        <v>499</v>
      </c>
      <c r="J61" s="576">
        <v>462</v>
      </c>
      <c r="K61" s="576">
        <v>467</v>
      </c>
      <c r="L61" s="576">
        <v>-37</v>
      </c>
      <c r="M61" s="576">
        <v>5</v>
      </c>
      <c r="N61" s="587"/>
      <c r="O61" s="620" t="s">
        <v>753</v>
      </c>
      <c r="P61" s="576"/>
      <c r="Q61" s="576">
        <v>467</v>
      </c>
      <c r="R61" s="576"/>
      <c r="S61" s="576"/>
      <c r="T61" s="576"/>
      <c r="U61" s="576"/>
      <c r="V61" s="576"/>
      <c r="W61" s="576"/>
      <c r="X61" s="576"/>
    </row>
    <row r="62" spans="1:24" ht="29" x14ac:dyDescent="0.35">
      <c r="A62">
        <v>6081</v>
      </c>
      <c r="B62" s="588" t="s">
        <v>567</v>
      </c>
      <c r="C62" s="576">
        <v>740</v>
      </c>
      <c r="D62" s="576">
        <v>732</v>
      </c>
      <c r="E62" s="576">
        <v>662</v>
      </c>
      <c r="F62" s="576">
        <v>671</v>
      </c>
      <c r="G62" s="576">
        <v>686</v>
      </c>
      <c r="H62" s="576">
        <v>680</v>
      </c>
      <c r="I62" s="576">
        <v>664</v>
      </c>
      <c r="J62" s="576">
        <v>634</v>
      </c>
      <c r="K62" s="613">
        <v>609</v>
      </c>
      <c r="L62" s="576">
        <v>-30</v>
      </c>
      <c r="M62" s="576">
        <v>-54</v>
      </c>
      <c r="N62" s="587"/>
      <c r="O62" s="608" t="s">
        <v>752</v>
      </c>
      <c r="P62" s="576"/>
      <c r="Q62" s="576">
        <v>609</v>
      </c>
      <c r="R62" s="576"/>
      <c r="S62" s="576"/>
      <c r="T62" s="576"/>
      <c r="U62" s="576"/>
      <c r="V62" s="576"/>
      <c r="W62" s="576"/>
      <c r="X62" s="576"/>
    </row>
    <row r="63" spans="1:24" x14ac:dyDescent="0.35">
      <c r="A63">
        <v>6101</v>
      </c>
      <c r="B63" s="588" t="s">
        <v>568</v>
      </c>
      <c r="C63" s="576">
        <v>468</v>
      </c>
      <c r="D63" s="576">
        <v>475</v>
      </c>
      <c r="E63" s="576">
        <v>426</v>
      </c>
      <c r="F63" s="576">
        <v>427</v>
      </c>
      <c r="G63" s="576">
        <v>468</v>
      </c>
      <c r="H63" s="576">
        <v>445</v>
      </c>
      <c r="I63" s="576">
        <v>410</v>
      </c>
      <c r="J63" s="576">
        <v>394</v>
      </c>
      <c r="K63" s="576">
        <v>388</v>
      </c>
      <c r="L63" s="576">
        <v>-16</v>
      </c>
      <c r="M63" s="576">
        <v>-6</v>
      </c>
      <c r="N63" s="587"/>
      <c r="O63" s="586"/>
      <c r="P63" s="576"/>
      <c r="Q63" s="576">
        <v>388</v>
      </c>
      <c r="R63" s="576"/>
      <c r="S63" s="576"/>
      <c r="T63" s="576"/>
      <c r="U63" s="576"/>
      <c r="V63" s="576"/>
      <c r="W63" s="576"/>
      <c r="X63" s="576"/>
    </row>
    <row r="64" spans="1:24" x14ac:dyDescent="0.35">
      <c r="A64">
        <v>6141</v>
      </c>
      <c r="B64" s="588" t="s">
        <v>569</v>
      </c>
      <c r="C64" s="576">
        <v>845</v>
      </c>
      <c r="D64" s="576">
        <v>825</v>
      </c>
      <c r="E64" s="576">
        <v>703</v>
      </c>
      <c r="F64" s="576">
        <v>717</v>
      </c>
      <c r="G64" s="576">
        <v>626</v>
      </c>
      <c r="H64" s="576">
        <v>589</v>
      </c>
      <c r="I64" s="576">
        <v>540</v>
      </c>
      <c r="J64" s="576">
        <v>476</v>
      </c>
      <c r="K64" s="576">
        <v>408</v>
      </c>
      <c r="L64" s="576">
        <v>-64</v>
      </c>
      <c r="M64" s="576">
        <v>-68</v>
      </c>
      <c r="N64" s="587"/>
      <c r="O64" s="586"/>
      <c r="P64" s="576"/>
      <c r="Q64" s="576">
        <v>408</v>
      </c>
      <c r="R64" s="576"/>
      <c r="S64" s="576"/>
      <c r="T64" s="576"/>
      <c r="U64" s="576"/>
      <c r="V64" s="576"/>
      <c r="W64" s="576"/>
      <c r="X64" s="576"/>
    </row>
    <row r="65" spans="1:24" x14ac:dyDescent="0.35">
      <c r="B65" s="595" t="s">
        <v>570</v>
      </c>
      <c r="C65" s="593">
        <v>7669</v>
      </c>
      <c r="D65" s="593">
        <v>7830</v>
      </c>
      <c r="E65" s="593">
        <v>7570</v>
      </c>
      <c r="F65" s="593">
        <v>7595</v>
      </c>
      <c r="G65" s="593">
        <v>7314</v>
      </c>
      <c r="H65" s="593">
        <v>6918</v>
      </c>
      <c r="I65" s="593">
        <v>7096</v>
      </c>
      <c r="J65" s="594">
        <v>6847</v>
      </c>
      <c r="K65" s="593">
        <f>SUM(K66:K77)</f>
        <v>6659</v>
      </c>
      <c r="L65" s="592">
        <v>-249</v>
      </c>
      <c r="M65" s="593">
        <v>-1070</v>
      </c>
      <c r="N65" s="591"/>
      <c r="O65" s="590"/>
      <c r="P65" s="576"/>
      <c r="Q65" s="593">
        <f>SUM(Q66:Q77)</f>
        <v>6659</v>
      </c>
      <c r="R65" s="614">
        <f>Q65-J65</f>
        <v>-188</v>
      </c>
      <c r="S65" s="576"/>
      <c r="T65" s="576"/>
      <c r="U65" s="576"/>
      <c r="V65" s="576"/>
      <c r="W65" s="576"/>
      <c r="X65" s="576"/>
    </row>
    <row r="66" spans="1:24" ht="29" x14ac:dyDescent="0.35">
      <c r="A66">
        <v>52</v>
      </c>
      <c r="B66" s="588" t="s">
        <v>571</v>
      </c>
      <c r="C66" s="576">
        <v>492</v>
      </c>
      <c r="D66" s="576">
        <v>528</v>
      </c>
      <c r="E66" s="576">
        <v>470</v>
      </c>
      <c r="F66" s="576">
        <v>480</v>
      </c>
      <c r="G66" s="576">
        <v>446</v>
      </c>
      <c r="H66" s="576">
        <v>429</v>
      </c>
      <c r="I66" s="576">
        <v>446</v>
      </c>
      <c r="J66" s="576">
        <v>424</v>
      </c>
      <c r="K66" s="613">
        <v>410</v>
      </c>
      <c r="L66" s="576">
        <v>-22</v>
      </c>
      <c r="M66" s="576">
        <v>70</v>
      </c>
      <c r="N66" s="587"/>
      <c r="O66" s="586" t="s">
        <v>751</v>
      </c>
      <c r="P66" s="576"/>
      <c r="Q66" s="613">
        <v>410</v>
      </c>
      <c r="R66" s="576"/>
      <c r="S66" s="576"/>
      <c r="T66" s="576"/>
      <c r="U66" s="576"/>
      <c r="V66" s="576"/>
      <c r="W66" s="576"/>
      <c r="X66" s="576"/>
    </row>
    <row r="67" spans="1:24" x14ac:dyDescent="0.35">
      <c r="A67">
        <v>141</v>
      </c>
      <c r="B67" s="588" t="s">
        <v>572</v>
      </c>
      <c r="C67" s="576">
        <v>548</v>
      </c>
      <c r="D67" s="576">
        <v>537</v>
      </c>
      <c r="E67" s="576">
        <v>566</v>
      </c>
      <c r="F67" s="576">
        <v>574</v>
      </c>
      <c r="G67" s="576">
        <v>550</v>
      </c>
      <c r="H67" s="576">
        <v>561</v>
      </c>
      <c r="I67" s="576">
        <v>505</v>
      </c>
      <c r="J67" s="576">
        <v>468</v>
      </c>
      <c r="K67" s="613">
        <v>443</v>
      </c>
      <c r="L67" s="576">
        <v>-37</v>
      </c>
      <c r="M67" s="576">
        <v>-79</v>
      </c>
      <c r="N67" s="587"/>
      <c r="O67" s="608" t="s">
        <v>750</v>
      </c>
      <c r="P67" s="576"/>
      <c r="Q67" s="576">
        <v>443</v>
      </c>
      <c r="R67" s="576"/>
      <c r="S67" s="576"/>
      <c r="T67" s="576"/>
      <c r="U67" s="576"/>
      <c r="V67" s="576"/>
      <c r="W67" s="576"/>
      <c r="X67" s="576"/>
    </row>
    <row r="68" spans="1:24" x14ac:dyDescent="0.35">
      <c r="A68">
        <v>1081</v>
      </c>
      <c r="B68" s="588" t="s">
        <v>573</v>
      </c>
      <c r="C68" s="576">
        <v>480</v>
      </c>
      <c r="D68" s="576">
        <v>489</v>
      </c>
      <c r="E68" s="576">
        <v>407</v>
      </c>
      <c r="F68" s="576">
        <v>336</v>
      </c>
      <c r="G68" s="576">
        <v>365</v>
      </c>
      <c r="H68" s="576">
        <v>355</v>
      </c>
      <c r="I68" s="576">
        <v>262</v>
      </c>
      <c r="J68" s="576">
        <v>249</v>
      </c>
      <c r="K68" s="613">
        <v>240</v>
      </c>
      <c r="L68" s="576">
        <v>-13</v>
      </c>
      <c r="M68" s="576">
        <v>33</v>
      </c>
      <c r="N68" s="587"/>
      <c r="O68" s="608" t="s">
        <v>749</v>
      </c>
      <c r="P68" s="576"/>
      <c r="Q68" s="576">
        <v>240</v>
      </c>
      <c r="R68" s="576"/>
      <c r="S68" s="576"/>
      <c r="T68" s="576"/>
      <c r="U68" s="576"/>
      <c r="V68" s="576"/>
      <c r="W68" s="576"/>
      <c r="X68" s="576"/>
    </row>
    <row r="69" spans="1:24" x14ac:dyDescent="0.35">
      <c r="A69">
        <v>1101</v>
      </c>
      <c r="B69" s="588" t="s">
        <v>574</v>
      </c>
      <c r="C69" s="576">
        <v>611</v>
      </c>
      <c r="D69" s="576">
        <v>657</v>
      </c>
      <c r="E69" s="576">
        <v>666</v>
      </c>
      <c r="F69" s="576">
        <v>682</v>
      </c>
      <c r="G69" s="576">
        <v>671</v>
      </c>
      <c r="H69" s="576">
        <v>667</v>
      </c>
      <c r="I69" s="576">
        <v>449</v>
      </c>
      <c r="J69" s="576">
        <v>381</v>
      </c>
      <c r="K69" s="613">
        <v>373</v>
      </c>
      <c r="L69" s="576">
        <v>-68</v>
      </c>
      <c r="M69" s="576">
        <v>38</v>
      </c>
      <c r="N69" s="587"/>
      <c r="O69" s="608" t="s">
        <v>748</v>
      </c>
      <c r="P69" s="576"/>
      <c r="Q69" s="576">
        <v>373</v>
      </c>
      <c r="R69" s="576"/>
      <c r="S69" s="576"/>
      <c r="T69" s="576"/>
      <c r="U69" s="576"/>
      <c r="V69" s="576"/>
      <c r="W69" s="576"/>
      <c r="X69" s="576"/>
    </row>
    <row r="70" spans="1:24" x14ac:dyDescent="0.35">
      <c r="A70">
        <v>2071</v>
      </c>
      <c r="B70" s="588" t="s">
        <v>575</v>
      </c>
      <c r="C70" s="576">
        <v>791</v>
      </c>
      <c r="D70" s="576">
        <v>769</v>
      </c>
      <c r="E70" s="576">
        <v>775</v>
      </c>
      <c r="F70" s="576">
        <v>747</v>
      </c>
      <c r="G70" s="576">
        <v>668</v>
      </c>
      <c r="H70" s="576">
        <v>584</v>
      </c>
      <c r="I70" s="576">
        <v>556</v>
      </c>
      <c r="J70" s="576">
        <v>527</v>
      </c>
      <c r="K70" s="576">
        <v>510</v>
      </c>
      <c r="L70" s="576">
        <v>-29</v>
      </c>
      <c r="M70" s="576">
        <v>-17</v>
      </c>
      <c r="N70" s="587"/>
      <c r="O70" s="586" t="s">
        <v>729</v>
      </c>
      <c r="P70" s="576"/>
      <c r="Q70" s="576">
        <v>510</v>
      </c>
      <c r="R70" s="576"/>
      <c r="S70" s="576"/>
      <c r="T70" s="576"/>
      <c r="U70" s="576"/>
      <c r="V70" s="576"/>
      <c r="W70" s="576"/>
      <c r="X70" s="576"/>
    </row>
    <row r="71" spans="1:24" ht="43.5" x14ac:dyDescent="0.35">
      <c r="A71">
        <v>2122</v>
      </c>
      <c r="B71" s="588" t="s">
        <v>576</v>
      </c>
      <c r="C71" s="576">
        <v>833</v>
      </c>
      <c r="D71" s="576">
        <v>898</v>
      </c>
      <c r="E71" s="576">
        <v>904</v>
      </c>
      <c r="F71" s="576">
        <v>940</v>
      </c>
      <c r="G71" s="576">
        <v>920</v>
      </c>
      <c r="H71" s="576">
        <v>900</v>
      </c>
      <c r="I71" s="589">
        <v>1001</v>
      </c>
      <c r="J71" s="576">
        <v>987</v>
      </c>
      <c r="K71" s="609">
        <v>987</v>
      </c>
      <c r="L71" s="576">
        <v>-14</v>
      </c>
      <c r="M71" s="576">
        <v>50</v>
      </c>
      <c r="N71" s="587"/>
      <c r="O71" s="619" t="s">
        <v>747</v>
      </c>
      <c r="P71" s="576"/>
      <c r="Q71" s="613">
        <v>987</v>
      </c>
      <c r="R71" s="576"/>
      <c r="S71" s="576"/>
      <c r="T71" s="576"/>
      <c r="U71" s="576"/>
      <c r="V71" s="576"/>
      <c r="W71" s="576"/>
      <c r="X71" s="576"/>
    </row>
    <row r="72" spans="1:24" x14ac:dyDescent="0.35">
      <c r="A72">
        <v>3021</v>
      </c>
      <c r="B72" s="588" t="s">
        <v>577</v>
      </c>
      <c r="C72" s="589">
        <v>1193</v>
      </c>
      <c r="D72" s="589">
        <v>1181</v>
      </c>
      <c r="E72" s="589">
        <v>1135</v>
      </c>
      <c r="F72" s="589">
        <v>1171</v>
      </c>
      <c r="G72" s="589">
        <v>1129</v>
      </c>
      <c r="H72" s="589">
        <v>1061</v>
      </c>
      <c r="I72" s="589">
        <v>1058</v>
      </c>
      <c r="J72" s="589">
        <v>1035</v>
      </c>
      <c r="K72" s="613">
        <v>991</v>
      </c>
      <c r="L72" s="576">
        <v>-23</v>
      </c>
      <c r="M72" s="576">
        <v>-203</v>
      </c>
      <c r="N72" s="587"/>
      <c r="O72" s="618" t="s">
        <v>746</v>
      </c>
      <c r="P72" s="576"/>
      <c r="Q72" s="609">
        <v>991</v>
      </c>
      <c r="R72" s="576"/>
      <c r="S72" s="576"/>
      <c r="T72" s="576"/>
      <c r="U72" s="576"/>
      <c r="V72" s="576"/>
      <c r="W72" s="576"/>
      <c r="X72" s="576"/>
    </row>
    <row r="73" spans="1:24" x14ac:dyDescent="0.35">
      <c r="A73">
        <v>3031</v>
      </c>
      <c r="B73" s="588" t="s">
        <v>578</v>
      </c>
      <c r="C73" s="576">
        <v>736</v>
      </c>
      <c r="D73" s="576">
        <v>744</v>
      </c>
      <c r="E73" s="576">
        <v>731</v>
      </c>
      <c r="F73" s="576">
        <v>690</v>
      </c>
      <c r="G73" s="576">
        <v>610</v>
      </c>
      <c r="H73" s="576">
        <v>555</v>
      </c>
      <c r="I73" s="576">
        <v>577</v>
      </c>
      <c r="J73" s="576">
        <v>552</v>
      </c>
      <c r="K73" s="576">
        <v>529</v>
      </c>
      <c r="L73" s="576">
        <v>-25</v>
      </c>
      <c r="M73" s="576">
        <v>-44</v>
      </c>
      <c r="N73" s="587"/>
      <c r="O73" s="586" t="s">
        <v>797</v>
      </c>
      <c r="P73" s="576"/>
      <c r="Q73" s="576">
        <v>529</v>
      </c>
      <c r="R73" s="576"/>
      <c r="S73" s="576"/>
      <c r="T73" s="576"/>
      <c r="U73" s="576"/>
      <c r="V73" s="576"/>
      <c r="W73" s="576"/>
      <c r="X73" s="576"/>
    </row>
    <row r="74" spans="1:24" ht="29" x14ac:dyDescent="0.35">
      <c r="A74">
        <v>3171</v>
      </c>
      <c r="B74" s="588" t="s">
        <v>656</v>
      </c>
      <c r="C74" s="576"/>
      <c r="D74" s="576"/>
      <c r="E74" s="576"/>
      <c r="F74" s="576"/>
      <c r="G74" s="576"/>
      <c r="H74" s="576"/>
      <c r="I74" s="576">
        <v>742</v>
      </c>
      <c r="J74" s="576">
        <v>832</v>
      </c>
      <c r="K74" s="613">
        <v>878</v>
      </c>
      <c r="L74" s="576">
        <v>90</v>
      </c>
      <c r="M74" s="576">
        <v>-482</v>
      </c>
      <c r="N74" s="587"/>
      <c r="O74" s="617" t="s">
        <v>745</v>
      </c>
      <c r="P74" s="576"/>
      <c r="Q74" s="616">
        <v>878</v>
      </c>
      <c r="R74" s="576"/>
      <c r="S74" s="576"/>
      <c r="T74" s="576"/>
      <c r="U74" s="576"/>
      <c r="V74" s="576"/>
      <c r="W74" s="576"/>
      <c r="X74" s="576"/>
    </row>
    <row r="75" spans="1:24" x14ac:dyDescent="0.35">
      <c r="A75">
        <v>4111</v>
      </c>
      <c r="B75" s="588" t="s">
        <v>579</v>
      </c>
      <c r="C75" s="576">
        <v>660</v>
      </c>
      <c r="D75" s="576">
        <v>689</v>
      </c>
      <c r="E75" s="576">
        <v>647</v>
      </c>
      <c r="F75" s="576">
        <v>622</v>
      </c>
      <c r="G75" s="576">
        <v>608</v>
      </c>
      <c r="H75" s="576">
        <v>541</v>
      </c>
      <c r="I75" s="576">
        <v>479</v>
      </c>
      <c r="J75" s="576">
        <v>443</v>
      </c>
      <c r="K75" s="613">
        <v>387</v>
      </c>
      <c r="L75" s="576">
        <v>-36</v>
      </c>
      <c r="M75" s="576">
        <v>-68</v>
      </c>
      <c r="N75" s="587"/>
      <c r="O75" s="608" t="s">
        <v>744</v>
      </c>
      <c r="P75" s="576"/>
      <c r="Q75" s="576">
        <v>387</v>
      </c>
      <c r="R75" s="576"/>
      <c r="S75" s="576"/>
      <c r="T75" s="576"/>
      <c r="U75" s="576"/>
      <c r="V75" s="576"/>
      <c r="W75" s="576"/>
      <c r="X75" s="576"/>
    </row>
    <row r="76" spans="1:24" x14ac:dyDescent="0.35">
      <c r="A76">
        <v>6012</v>
      </c>
      <c r="B76" s="588" t="s">
        <v>580</v>
      </c>
      <c r="C76" s="576">
        <v>819</v>
      </c>
      <c r="D76" s="576">
        <v>844</v>
      </c>
      <c r="E76" s="576">
        <v>800</v>
      </c>
      <c r="F76" s="576">
        <v>843</v>
      </c>
      <c r="G76" s="576">
        <v>842</v>
      </c>
      <c r="H76" s="576">
        <v>823</v>
      </c>
      <c r="I76" s="576">
        <v>548</v>
      </c>
      <c r="J76" s="576">
        <v>488</v>
      </c>
      <c r="K76" s="613">
        <v>466</v>
      </c>
      <c r="L76" s="576">
        <v>-60</v>
      </c>
      <c r="M76" s="576">
        <v>-123</v>
      </c>
      <c r="N76" s="587"/>
      <c r="O76" s="608" t="s">
        <v>743</v>
      </c>
      <c r="P76" s="576"/>
      <c r="Q76" s="576">
        <v>466</v>
      </c>
      <c r="R76" s="576"/>
      <c r="S76" s="576"/>
      <c r="T76" s="576"/>
      <c r="U76" s="576"/>
      <c r="V76" s="576"/>
      <c r="W76" s="576"/>
      <c r="X76" s="576"/>
    </row>
    <row r="77" spans="1:24" ht="29" x14ac:dyDescent="0.35">
      <c r="A77">
        <v>6082</v>
      </c>
      <c r="B77" s="588" t="s">
        <v>581</v>
      </c>
      <c r="C77" s="576">
        <v>506</v>
      </c>
      <c r="D77" s="576">
        <v>494</v>
      </c>
      <c r="E77" s="576">
        <v>469</v>
      </c>
      <c r="F77" s="576">
        <v>510</v>
      </c>
      <c r="G77" s="576">
        <v>505</v>
      </c>
      <c r="H77" s="576">
        <v>442</v>
      </c>
      <c r="I77" s="576">
        <v>473</v>
      </c>
      <c r="J77" s="576">
        <v>461</v>
      </c>
      <c r="K77" s="613">
        <v>445</v>
      </c>
      <c r="L77" s="576">
        <v>-12</v>
      </c>
      <c r="M77" s="576">
        <v>-245</v>
      </c>
      <c r="N77" s="587"/>
      <c r="O77" s="615" t="s">
        <v>742</v>
      </c>
      <c r="P77" s="576"/>
      <c r="Q77" s="576">
        <v>445</v>
      </c>
      <c r="R77" s="576"/>
      <c r="S77" s="576"/>
      <c r="T77" s="576"/>
      <c r="U77" s="576"/>
      <c r="V77" s="576"/>
      <c r="W77" s="576"/>
      <c r="X77" s="576"/>
    </row>
    <row r="78" spans="1:24" x14ac:dyDescent="0.35">
      <c r="B78" s="595" t="s">
        <v>582</v>
      </c>
      <c r="C78" s="593">
        <v>6077</v>
      </c>
      <c r="D78" s="593">
        <v>6090</v>
      </c>
      <c r="E78" s="593">
        <v>5941</v>
      </c>
      <c r="F78" s="593">
        <v>5882</v>
      </c>
      <c r="G78" s="593">
        <v>5930</v>
      </c>
      <c r="H78" s="593">
        <v>5856</v>
      </c>
      <c r="I78" s="593">
        <v>5876</v>
      </c>
      <c r="J78" s="594">
        <v>5656</v>
      </c>
      <c r="K78" s="593">
        <f>SUM(K79:K83)</f>
        <v>5529</v>
      </c>
      <c r="L78" s="592">
        <v>-220</v>
      </c>
      <c r="M78" s="592">
        <v>-268</v>
      </c>
      <c r="N78" s="591"/>
      <c r="O78" s="590"/>
      <c r="P78" s="576"/>
      <c r="Q78" s="593">
        <f>SUM(Q79:Q83)</f>
        <v>5529</v>
      </c>
      <c r="R78" s="614">
        <f>Q78-J78</f>
        <v>-127</v>
      </c>
      <c r="S78" s="576"/>
      <c r="T78" s="576"/>
      <c r="U78" s="576"/>
      <c r="V78" s="576"/>
      <c r="W78" s="576"/>
      <c r="X78" s="576"/>
    </row>
    <row r="79" spans="1:24" x14ac:dyDescent="0.35">
      <c r="A79">
        <v>302</v>
      </c>
      <c r="B79" s="588" t="s">
        <v>583</v>
      </c>
      <c r="C79" s="589">
        <v>1586</v>
      </c>
      <c r="D79" s="589">
        <v>1584</v>
      </c>
      <c r="E79" s="589">
        <v>1501</v>
      </c>
      <c r="F79" s="589">
        <v>1556</v>
      </c>
      <c r="G79" s="589">
        <v>1534</v>
      </c>
      <c r="H79" s="589">
        <v>1488</v>
      </c>
      <c r="I79" s="589">
        <v>1505</v>
      </c>
      <c r="J79" s="589">
        <v>1465</v>
      </c>
      <c r="K79" s="609">
        <v>1424</v>
      </c>
      <c r="L79" s="576">
        <v>-40</v>
      </c>
      <c r="M79" s="576">
        <v>40</v>
      </c>
      <c r="N79" s="587"/>
      <c r="O79" s="608" t="s">
        <v>741</v>
      </c>
      <c r="P79" s="576"/>
      <c r="Q79" s="589">
        <v>1424</v>
      </c>
      <c r="R79" s="576"/>
      <c r="S79" s="576"/>
      <c r="T79" s="576"/>
      <c r="U79" s="576"/>
      <c r="V79" s="576"/>
      <c r="W79" s="576"/>
      <c r="X79" s="576"/>
    </row>
    <row r="80" spans="1:24" x14ac:dyDescent="0.35">
      <c r="A80">
        <v>1121</v>
      </c>
      <c r="B80" s="588" t="s">
        <v>584</v>
      </c>
      <c r="C80" s="589">
        <v>1577</v>
      </c>
      <c r="D80" s="589">
        <v>1610</v>
      </c>
      <c r="E80" s="589">
        <v>1572</v>
      </c>
      <c r="F80" s="589">
        <v>1516</v>
      </c>
      <c r="G80" s="589">
        <v>1545</v>
      </c>
      <c r="H80" s="589">
        <v>1474</v>
      </c>
      <c r="I80" s="589">
        <v>1435</v>
      </c>
      <c r="J80" s="589">
        <v>1311</v>
      </c>
      <c r="K80" s="609">
        <v>1235</v>
      </c>
      <c r="L80" s="576">
        <v>-124</v>
      </c>
      <c r="M80" s="576">
        <v>-302</v>
      </c>
      <c r="N80" s="587"/>
      <c r="O80" s="608" t="s">
        <v>740</v>
      </c>
      <c r="P80" s="576"/>
      <c r="Q80" s="589">
        <v>1235</v>
      </c>
      <c r="R80" s="576"/>
      <c r="S80" s="576"/>
      <c r="T80" s="576"/>
      <c r="U80" s="576"/>
      <c r="V80" s="576"/>
      <c r="W80" s="576"/>
      <c r="X80" s="576"/>
    </row>
    <row r="81" spans="1:24" x14ac:dyDescent="0.35">
      <c r="A81">
        <v>3141</v>
      </c>
      <c r="B81" s="588" t="s">
        <v>585</v>
      </c>
      <c r="C81" s="576">
        <v>953</v>
      </c>
      <c r="D81" s="576">
        <v>951</v>
      </c>
      <c r="E81" s="576">
        <v>967</v>
      </c>
      <c r="F81" s="576">
        <v>946</v>
      </c>
      <c r="G81" s="576">
        <v>930</v>
      </c>
      <c r="H81" s="576">
        <v>931</v>
      </c>
      <c r="I81" s="576">
        <v>947</v>
      </c>
      <c r="J81" s="576">
        <v>941</v>
      </c>
      <c r="K81" s="613">
        <v>942</v>
      </c>
      <c r="L81" s="576">
        <v>-6</v>
      </c>
      <c r="M81" s="576">
        <v>-84</v>
      </c>
      <c r="N81" s="587"/>
      <c r="O81" s="608" t="s">
        <v>739</v>
      </c>
      <c r="P81" s="576"/>
      <c r="Q81" s="576">
        <v>942</v>
      </c>
      <c r="R81" s="576"/>
      <c r="S81" s="576"/>
      <c r="T81" s="576"/>
      <c r="U81" s="576"/>
      <c r="V81" s="576"/>
      <c r="W81" s="576"/>
      <c r="X81" s="576"/>
    </row>
    <row r="82" spans="1:24" x14ac:dyDescent="0.35">
      <c r="A82">
        <v>4021</v>
      </c>
      <c r="B82" s="588" t="s">
        <v>586</v>
      </c>
      <c r="C82" s="576">
        <v>948</v>
      </c>
      <c r="D82" s="576">
        <v>942</v>
      </c>
      <c r="E82" s="576">
        <v>937</v>
      </c>
      <c r="F82" s="576">
        <v>921</v>
      </c>
      <c r="G82" s="576">
        <v>938</v>
      </c>
      <c r="H82" s="576">
        <v>935</v>
      </c>
      <c r="I82" s="576">
        <v>940</v>
      </c>
      <c r="J82" s="576">
        <v>942</v>
      </c>
      <c r="K82" s="613">
        <v>944</v>
      </c>
      <c r="L82" s="576">
        <v>2</v>
      </c>
      <c r="M82" s="576">
        <v>-16</v>
      </c>
      <c r="N82" s="587"/>
      <c r="O82" s="608" t="s">
        <v>738</v>
      </c>
      <c r="P82" s="576"/>
      <c r="Q82" s="576">
        <v>944</v>
      </c>
      <c r="R82" s="576"/>
      <c r="S82" s="576"/>
      <c r="T82" s="576"/>
      <c r="U82" s="576"/>
      <c r="V82" s="576"/>
      <c r="W82" s="576"/>
      <c r="X82" s="576"/>
    </row>
    <row r="83" spans="1:24" ht="29" x14ac:dyDescent="0.35">
      <c r="A83">
        <v>5011</v>
      </c>
      <c r="B83" s="588" t="s">
        <v>587</v>
      </c>
      <c r="C83" s="589">
        <v>1013</v>
      </c>
      <c r="D83" s="589">
        <v>1003</v>
      </c>
      <c r="E83" s="576">
        <v>964</v>
      </c>
      <c r="F83" s="576">
        <v>943</v>
      </c>
      <c r="G83" s="576">
        <v>983</v>
      </c>
      <c r="H83" s="589">
        <v>1028</v>
      </c>
      <c r="I83" s="589">
        <v>1049</v>
      </c>
      <c r="J83" s="576">
        <v>997</v>
      </c>
      <c r="K83" s="609">
        <v>984</v>
      </c>
      <c r="L83" s="576">
        <v>-52</v>
      </c>
      <c r="M83" s="576">
        <v>94</v>
      </c>
      <c r="N83" s="587"/>
      <c r="O83" s="586" t="s">
        <v>737</v>
      </c>
      <c r="P83" s="576"/>
      <c r="Q83" s="576">
        <v>984</v>
      </c>
      <c r="R83" s="576"/>
      <c r="S83" s="576"/>
      <c r="T83" s="576"/>
      <c r="U83" s="576"/>
      <c r="V83" s="576"/>
      <c r="W83" s="576"/>
      <c r="X83" s="576"/>
    </row>
    <row r="84" spans="1:24" x14ac:dyDescent="0.35">
      <c r="B84" s="595" t="s">
        <v>588</v>
      </c>
      <c r="C84" s="593">
        <v>17869</v>
      </c>
      <c r="D84" s="593">
        <v>17764</v>
      </c>
      <c r="E84" s="593">
        <v>17352</v>
      </c>
      <c r="F84" s="593">
        <v>17878</v>
      </c>
      <c r="G84" s="593">
        <v>18528</v>
      </c>
      <c r="H84" s="593">
        <v>18361</v>
      </c>
      <c r="I84" s="593">
        <v>18216</v>
      </c>
      <c r="J84" s="594">
        <v>17833</v>
      </c>
      <c r="K84" s="593">
        <f>SUM(K85:K95)</f>
        <v>17771</v>
      </c>
      <c r="L84" s="592">
        <v>-383</v>
      </c>
      <c r="M84" s="593">
        <v>-2902</v>
      </c>
      <c r="N84" s="591"/>
      <c r="O84" s="590"/>
      <c r="P84" s="576"/>
      <c r="Q84" s="593">
        <f>SUM(Q85:Q95)</f>
        <v>17771</v>
      </c>
      <c r="R84" s="614">
        <f>Q84-J84</f>
        <v>-62</v>
      </c>
      <c r="S84" s="576"/>
      <c r="T84" s="576"/>
      <c r="U84" s="576"/>
      <c r="V84" s="576"/>
      <c r="W84" s="576"/>
      <c r="X84" s="576"/>
    </row>
    <row r="85" spans="1:24" ht="29" x14ac:dyDescent="0.35">
      <c r="A85">
        <v>11</v>
      </c>
      <c r="B85" s="588" t="s">
        <v>589</v>
      </c>
      <c r="C85" s="589">
        <v>1381</v>
      </c>
      <c r="D85" s="589">
        <v>1310</v>
      </c>
      <c r="E85" s="589">
        <v>1230</v>
      </c>
      <c r="F85" s="589">
        <v>1231</v>
      </c>
      <c r="G85" s="589">
        <v>1313</v>
      </c>
      <c r="H85" s="589">
        <v>1309</v>
      </c>
      <c r="I85" s="589">
        <v>1277</v>
      </c>
      <c r="J85" s="589">
        <v>1306</v>
      </c>
      <c r="K85" s="609">
        <v>1300</v>
      </c>
      <c r="L85" s="576">
        <v>29</v>
      </c>
      <c r="M85" s="576">
        <v>90</v>
      </c>
      <c r="N85" s="587"/>
      <c r="O85" s="608" t="s">
        <v>736</v>
      </c>
      <c r="P85" s="576"/>
      <c r="Q85" s="609">
        <v>1300</v>
      </c>
      <c r="R85" s="576"/>
      <c r="S85" s="576"/>
      <c r="T85" s="576"/>
      <c r="U85" s="576"/>
      <c r="V85" s="576"/>
      <c r="W85" s="576"/>
      <c r="X85" s="576"/>
    </row>
    <row r="86" spans="1:24" x14ac:dyDescent="0.35">
      <c r="A86">
        <v>161</v>
      </c>
      <c r="B86" s="588" t="s">
        <v>590</v>
      </c>
      <c r="C86" s="589">
        <v>1076</v>
      </c>
      <c r="D86" s="589">
        <v>1055</v>
      </c>
      <c r="E86" s="589">
        <v>1087</v>
      </c>
      <c r="F86" s="589">
        <v>1077</v>
      </c>
      <c r="G86" s="589">
        <v>1109</v>
      </c>
      <c r="H86" s="589">
        <v>1056</v>
      </c>
      <c r="I86" s="589">
        <v>1054</v>
      </c>
      <c r="J86" s="589">
        <v>1018</v>
      </c>
      <c r="K86" s="613">
        <v>1006</v>
      </c>
      <c r="L86" s="576">
        <v>-36</v>
      </c>
      <c r="M86" s="576">
        <v>-380</v>
      </c>
      <c r="N86" s="587"/>
      <c r="O86" s="608" t="s">
        <v>735</v>
      </c>
      <c r="P86" s="576"/>
      <c r="Q86" s="589">
        <v>1006</v>
      </c>
      <c r="R86" s="576"/>
      <c r="S86" s="576"/>
      <c r="T86" s="576"/>
      <c r="U86" s="576"/>
      <c r="V86" s="576"/>
      <c r="W86" s="576"/>
      <c r="X86" s="576"/>
    </row>
    <row r="87" spans="1:24" x14ac:dyDescent="0.35">
      <c r="A87">
        <v>1011</v>
      </c>
      <c r="B87" s="588" t="s">
        <v>591</v>
      </c>
      <c r="C87" s="589">
        <v>1516</v>
      </c>
      <c r="D87" s="589">
        <v>1518</v>
      </c>
      <c r="E87" s="589">
        <v>1518</v>
      </c>
      <c r="F87" s="589">
        <v>1568</v>
      </c>
      <c r="G87" s="589">
        <v>1559</v>
      </c>
      <c r="H87" s="589">
        <v>1544</v>
      </c>
      <c r="I87" s="589">
        <v>1577</v>
      </c>
      <c r="J87" s="589">
        <v>1533</v>
      </c>
      <c r="K87" s="613">
        <v>1529</v>
      </c>
      <c r="L87" s="576">
        <v>-44</v>
      </c>
      <c r="M87" s="576">
        <v>-827</v>
      </c>
      <c r="N87" s="587"/>
      <c r="O87" s="608" t="s">
        <v>734</v>
      </c>
      <c r="P87" s="576"/>
      <c r="Q87" s="589">
        <v>1529</v>
      </c>
      <c r="R87" s="576"/>
      <c r="S87" s="576"/>
      <c r="T87" s="576"/>
      <c r="U87" s="576"/>
      <c r="V87" s="576"/>
      <c r="W87" s="576"/>
      <c r="X87" s="576"/>
    </row>
    <row r="88" spans="1:24" ht="29" x14ac:dyDescent="0.35">
      <c r="A88">
        <v>1171</v>
      </c>
      <c r="B88" s="588" t="s">
        <v>592</v>
      </c>
      <c r="C88" s="589">
        <v>2157</v>
      </c>
      <c r="D88" s="589">
        <v>2154</v>
      </c>
      <c r="E88" s="589">
        <v>2096</v>
      </c>
      <c r="F88" s="589">
        <v>2216</v>
      </c>
      <c r="G88" s="589">
        <v>2289</v>
      </c>
      <c r="H88" s="589">
        <v>2312</v>
      </c>
      <c r="I88" s="589">
        <v>2333</v>
      </c>
      <c r="J88" s="589">
        <v>2275</v>
      </c>
      <c r="K88" s="609">
        <v>2255</v>
      </c>
      <c r="L88" s="576">
        <v>-58</v>
      </c>
      <c r="M88" s="576">
        <v>-577</v>
      </c>
      <c r="N88" s="587"/>
      <c r="O88" s="586" t="s">
        <v>733</v>
      </c>
      <c r="P88" s="576"/>
      <c r="Q88" s="609">
        <v>2255</v>
      </c>
      <c r="R88" s="576"/>
      <c r="S88" s="576"/>
      <c r="T88" s="576"/>
      <c r="U88" s="576"/>
      <c r="V88" s="576"/>
      <c r="W88" s="576"/>
      <c r="X88" s="576"/>
    </row>
    <row r="89" spans="1:24" x14ac:dyDescent="0.35">
      <c r="A89">
        <v>2011</v>
      </c>
      <c r="B89" s="588" t="s">
        <v>593</v>
      </c>
      <c r="C89" s="589">
        <v>2113</v>
      </c>
      <c r="D89" s="589">
        <v>2140</v>
      </c>
      <c r="E89" s="589">
        <v>2112</v>
      </c>
      <c r="F89" s="589">
        <v>2210</v>
      </c>
      <c r="G89" s="589">
        <v>2245</v>
      </c>
      <c r="H89" s="589">
        <v>2178</v>
      </c>
      <c r="I89" s="589">
        <v>2210</v>
      </c>
      <c r="J89" s="589">
        <v>2246</v>
      </c>
      <c r="K89" s="589">
        <v>2247</v>
      </c>
      <c r="L89" s="576">
        <v>36</v>
      </c>
      <c r="M89" s="576">
        <v>1</v>
      </c>
      <c r="N89" s="587"/>
      <c r="O89" s="586"/>
      <c r="P89" s="576"/>
      <c r="Q89" s="589">
        <v>2247</v>
      </c>
      <c r="R89" s="576"/>
      <c r="S89" s="576"/>
      <c r="T89" s="576"/>
      <c r="U89" s="576"/>
      <c r="V89" s="576"/>
      <c r="W89" s="576"/>
      <c r="X89" s="576"/>
    </row>
    <row r="90" spans="1:24" x14ac:dyDescent="0.35">
      <c r="A90">
        <v>2021</v>
      </c>
      <c r="B90" s="588" t="s">
        <v>594</v>
      </c>
      <c r="C90" s="589">
        <v>1543</v>
      </c>
      <c r="D90" s="589">
        <v>1413</v>
      </c>
      <c r="E90" s="589">
        <v>1336</v>
      </c>
      <c r="F90" s="589">
        <v>1286</v>
      </c>
      <c r="G90" s="589">
        <v>1483</v>
      </c>
      <c r="H90" s="589">
        <v>1410</v>
      </c>
      <c r="I90" s="589">
        <v>1366</v>
      </c>
      <c r="J90" s="589">
        <v>1296</v>
      </c>
      <c r="K90" s="613">
        <v>1291</v>
      </c>
      <c r="L90" s="576">
        <v>-70</v>
      </c>
      <c r="M90" s="576">
        <v>-426</v>
      </c>
      <c r="N90" s="587"/>
      <c r="O90" s="608" t="s">
        <v>732</v>
      </c>
      <c r="P90" s="576"/>
      <c r="Q90" s="610">
        <v>1291</v>
      </c>
      <c r="R90" s="576"/>
      <c r="S90" s="576"/>
      <c r="T90" s="576"/>
      <c r="U90" s="576"/>
      <c r="V90" s="576"/>
      <c r="W90" s="576"/>
      <c r="X90" s="576"/>
    </row>
    <row r="91" spans="1:24" x14ac:dyDescent="0.35">
      <c r="A91">
        <v>2211</v>
      </c>
      <c r="B91" s="588" t="s">
        <v>595</v>
      </c>
      <c r="C91" s="589">
        <v>1706</v>
      </c>
      <c r="D91" s="589">
        <v>1646</v>
      </c>
      <c r="E91" s="589">
        <v>1568</v>
      </c>
      <c r="F91" s="589">
        <v>1653</v>
      </c>
      <c r="G91" s="589">
        <v>1851</v>
      </c>
      <c r="H91" s="589">
        <v>2039</v>
      </c>
      <c r="I91" s="589">
        <v>2126</v>
      </c>
      <c r="J91" s="589">
        <v>2206</v>
      </c>
      <c r="K91" s="612">
        <v>2288</v>
      </c>
      <c r="L91" s="576">
        <v>80</v>
      </c>
      <c r="M91" s="576">
        <v>-349</v>
      </c>
      <c r="N91" s="587"/>
      <c r="O91" s="611" t="s">
        <v>731</v>
      </c>
      <c r="P91" s="576"/>
      <c r="Q91" s="610">
        <v>2288</v>
      </c>
      <c r="R91" s="576"/>
      <c r="S91" s="576"/>
      <c r="T91" s="576"/>
      <c r="U91" s="576"/>
      <c r="V91" s="576"/>
      <c r="W91" s="576"/>
      <c r="X91" s="576"/>
    </row>
    <row r="92" spans="1:24" ht="43.5" x14ac:dyDescent="0.35">
      <c r="A92">
        <v>2311</v>
      </c>
      <c r="B92" s="588" t="s">
        <v>596</v>
      </c>
      <c r="C92" s="589">
        <v>1831</v>
      </c>
      <c r="D92" s="589">
        <v>1889</v>
      </c>
      <c r="E92" s="589">
        <v>1899</v>
      </c>
      <c r="F92" s="589">
        <v>1991</v>
      </c>
      <c r="G92" s="589">
        <v>2033</v>
      </c>
      <c r="H92" s="589">
        <v>2037</v>
      </c>
      <c r="I92" s="589">
        <v>1992</v>
      </c>
      <c r="J92" s="589">
        <v>1865</v>
      </c>
      <c r="K92" s="609">
        <v>1849</v>
      </c>
      <c r="L92" s="576">
        <v>-127</v>
      </c>
      <c r="M92" s="576">
        <v>-557</v>
      </c>
      <c r="N92" s="587"/>
      <c r="O92" s="608" t="s">
        <v>730</v>
      </c>
      <c r="P92" s="576"/>
      <c r="Q92" s="589">
        <v>1849</v>
      </c>
      <c r="R92" s="576"/>
      <c r="S92" s="576"/>
      <c r="T92" s="576"/>
      <c r="U92" s="576"/>
      <c r="V92" s="576"/>
      <c r="W92" s="576"/>
      <c r="X92" s="576"/>
    </row>
    <row r="93" spans="1:24" x14ac:dyDescent="0.35">
      <c r="A93">
        <v>3011</v>
      </c>
      <c r="B93" s="588" t="s">
        <v>597</v>
      </c>
      <c r="C93" s="589">
        <v>1676</v>
      </c>
      <c r="D93" s="589">
        <v>1689</v>
      </c>
      <c r="E93" s="589">
        <v>1605</v>
      </c>
      <c r="F93" s="589">
        <v>1610</v>
      </c>
      <c r="G93" s="589">
        <v>1582</v>
      </c>
      <c r="H93" s="589">
        <v>1489</v>
      </c>
      <c r="I93" s="589">
        <v>1400</v>
      </c>
      <c r="J93" s="589">
        <v>1329</v>
      </c>
      <c r="K93" s="589">
        <v>1311</v>
      </c>
      <c r="L93" s="576">
        <v>-71</v>
      </c>
      <c r="M93" s="576">
        <v>-18</v>
      </c>
      <c r="N93" s="587"/>
      <c r="O93" s="586" t="s">
        <v>729</v>
      </c>
      <c r="P93" s="576"/>
      <c r="Q93" s="589">
        <v>1311</v>
      </c>
      <c r="R93" s="576"/>
      <c r="S93" s="576"/>
      <c r="T93" s="576"/>
      <c r="U93" s="576"/>
      <c r="V93" s="576"/>
      <c r="W93" s="576"/>
      <c r="X93" s="576"/>
    </row>
    <row r="94" spans="1:24" x14ac:dyDescent="0.35">
      <c r="A94">
        <v>4011</v>
      </c>
      <c r="B94" s="588" t="s">
        <v>598</v>
      </c>
      <c r="C94" s="589">
        <v>1542</v>
      </c>
      <c r="D94" s="589">
        <v>1528</v>
      </c>
      <c r="E94" s="589">
        <v>1489</v>
      </c>
      <c r="F94" s="589">
        <v>1523</v>
      </c>
      <c r="G94" s="589">
        <v>1546</v>
      </c>
      <c r="H94" s="589">
        <v>1481</v>
      </c>
      <c r="I94" s="589">
        <v>1445</v>
      </c>
      <c r="J94" s="589">
        <v>1299</v>
      </c>
      <c r="K94" s="589">
        <v>1287</v>
      </c>
      <c r="L94" s="576">
        <v>-146</v>
      </c>
      <c r="M94" s="576">
        <v>-12</v>
      </c>
      <c r="N94" s="587"/>
      <c r="O94" s="586" t="s">
        <v>729</v>
      </c>
      <c r="P94" s="607"/>
      <c r="Q94" s="589">
        <v>1287</v>
      </c>
      <c r="R94" s="576"/>
      <c r="S94" s="576"/>
      <c r="T94" s="576"/>
      <c r="U94" s="576"/>
      <c r="V94" s="576"/>
      <c r="W94" s="576"/>
      <c r="X94" s="576"/>
    </row>
    <row r="95" spans="1:24" x14ac:dyDescent="0.35">
      <c r="A95">
        <v>6011</v>
      </c>
      <c r="B95" s="588" t="s">
        <v>599</v>
      </c>
      <c r="C95" s="589">
        <v>1328</v>
      </c>
      <c r="D95" s="589">
        <v>1422</v>
      </c>
      <c r="E95" s="589">
        <v>1412</v>
      </c>
      <c r="F95" s="589">
        <v>1513</v>
      </c>
      <c r="G95" s="589">
        <v>1518</v>
      </c>
      <c r="H95" s="589">
        <v>1506</v>
      </c>
      <c r="I95" s="589">
        <v>1436</v>
      </c>
      <c r="J95" s="589">
        <v>1460</v>
      </c>
      <c r="K95" s="606">
        <v>1408</v>
      </c>
      <c r="L95" s="576">
        <v>24</v>
      </c>
      <c r="M95" s="576">
        <v>153</v>
      </c>
      <c r="N95" s="587"/>
      <c r="O95" s="586" t="s">
        <v>728</v>
      </c>
      <c r="P95" s="605" t="s">
        <v>727</v>
      </c>
      <c r="Q95" s="589">
        <v>1408</v>
      </c>
      <c r="R95" s="599" t="s">
        <v>726</v>
      </c>
      <c r="S95" s="576" t="s">
        <v>725</v>
      </c>
      <c r="T95" s="576"/>
      <c r="U95" s="576"/>
      <c r="V95" s="576"/>
      <c r="W95" s="576"/>
      <c r="X95" s="576" t="s">
        <v>724</v>
      </c>
    </row>
    <row r="96" spans="1:24" x14ac:dyDescent="0.35">
      <c r="B96" s="595" t="s">
        <v>600</v>
      </c>
      <c r="C96" s="592">
        <v>954</v>
      </c>
      <c r="D96" s="592">
        <v>919</v>
      </c>
      <c r="E96" s="593">
        <v>1981</v>
      </c>
      <c r="F96" s="593">
        <v>1535</v>
      </c>
      <c r="G96" s="593">
        <v>1192</v>
      </c>
      <c r="H96" s="593">
        <v>1153</v>
      </c>
      <c r="I96" s="593">
        <v>1118</v>
      </c>
      <c r="J96" s="604">
        <v>757</v>
      </c>
      <c r="K96" s="592">
        <v>578</v>
      </c>
      <c r="L96" s="592">
        <v>-361</v>
      </c>
      <c r="M96" s="592">
        <v>-179</v>
      </c>
      <c r="N96" s="591"/>
      <c r="O96" s="590"/>
      <c r="P96" s="603">
        <v>56871</v>
      </c>
      <c r="Q96" s="602">
        <f>Q7+Q65+Q78+Q84</f>
        <v>60434</v>
      </c>
      <c r="R96" s="598">
        <v>61412</v>
      </c>
      <c r="S96" s="601">
        <f>R7+R65+R78+R84</f>
        <v>-978</v>
      </c>
      <c r="T96" s="576" t="s">
        <v>723</v>
      </c>
      <c r="U96" s="576"/>
      <c r="V96" s="576"/>
      <c r="W96" s="576"/>
      <c r="X96" s="576">
        <v>-925</v>
      </c>
    </row>
    <row r="97" spans="1:24" x14ac:dyDescent="0.35">
      <c r="A97">
        <v>89</v>
      </c>
      <c r="B97" s="588" t="s">
        <v>601</v>
      </c>
      <c r="C97" s="576">
        <v>111</v>
      </c>
      <c r="D97" s="576">
        <v>92</v>
      </c>
      <c r="E97" s="576">
        <v>87</v>
      </c>
      <c r="F97" s="576">
        <v>70</v>
      </c>
      <c r="G97" s="576">
        <v>95</v>
      </c>
      <c r="H97" s="576">
        <v>74</v>
      </c>
      <c r="I97" s="576">
        <v>62</v>
      </c>
      <c r="J97" s="576">
        <v>47</v>
      </c>
      <c r="K97" s="576">
        <v>36</v>
      </c>
      <c r="L97" s="576">
        <v>-15</v>
      </c>
      <c r="M97" s="576">
        <v>-11</v>
      </c>
      <c r="N97" s="587"/>
      <c r="O97" s="586"/>
      <c r="P97" s="600" t="s">
        <v>722</v>
      </c>
      <c r="Q97" s="576"/>
      <c r="R97" s="599" t="s">
        <v>721</v>
      </c>
      <c r="S97" s="576"/>
      <c r="T97" s="576"/>
      <c r="U97" s="576"/>
      <c r="V97" s="576"/>
      <c r="W97" s="576"/>
      <c r="X97" s="576"/>
    </row>
    <row r="98" spans="1:24" x14ac:dyDescent="0.35">
      <c r="A98">
        <v>1002</v>
      </c>
      <c r="B98" s="588" t="s">
        <v>602</v>
      </c>
      <c r="C98" s="576">
        <v>30</v>
      </c>
      <c r="D98" s="576">
        <v>16</v>
      </c>
      <c r="E98" s="576">
        <v>17</v>
      </c>
      <c r="F98" s="576">
        <v>14</v>
      </c>
      <c r="G98" s="576"/>
      <c r="H98" s="576"/>
      <c r="I98" s="576"/>
      <c r="J98" s="576"/>
      <c r="K98" s="576"/>
      <c r="L98" s="576">
        <v>0</v>
      </c>
      <c r="M98" s="576">
        <v>0</v>
      </c>
      <c r="N98" s="587"/>
      <c r="O98" s="586"/>
      <c r="P98" s="576"/>
      <c r="Q98" s="576"/>
      <c r="R98" s="598">
        <v>63174</v>
      </c>
      <c r="S98" s="597">
        <v>-1762</v>
      </c>
      <c r="T98" s="576" t="s">
        <v>720</v>
      </c>
      <c r="U98" s="576"/>
      <c r="V98" s="576"/>
      <c r="W98" s="576"/>
      <c r="X98" s="576"/>
    </row>
    <row r="99" spans="1:24" x14ac:dyDescent="0.35">
      <c r="A99">
        <v>1014</v>
      </c>
      <c r="B99" s="588" t="s">
        <v>603</v>
      </c>
      <c r="C99" s="576">
        <v>9</v>
      </c>
      <c r="D99" s="576">
        <v>11</v>
      </c>
      <c r="E99" s="576">
        <v>8</v>
      </c>
      <c r="F99" s="576">
        <v>3</v>
      </c>
      <c r="G99" s="576">
        <v>3</v>
      </c>
      <c r="H99" s="576">
        <v>9</v>
      </c>
      <c r="I99" s="576">
        <v>10</v>
      </c>
      <c r="J99" s="576">
        <v>0</v>
      </c>
      <c r="K99" s="576">
        <v>0</v>
      </c>
      <c r="L99" s="576">
        <v>-10</v>
      </c>
      <c r="M99" s="576">
        <v>0</v>
      </c>
      <c r="N99" s="587"/>
      <c r="O99" s="586"/>
      <c r="P99" s="576"/>
      <c r="Q99" s="576"/>
      <c r="R99" s="576"/>
      <c r="S99" s="576"/>
      <c r="T99" s="576"/>
      <c r="U99" s="576"/>
      <c r="V99" s="576"/>
      <c r="W99" s="576"/>
      <c r="X99" s="576"/>
    </row>
    <row r="100" spans="1:24" x14ac:dyDescent="0.35">
      <c r="A100">
        <v>1017</v>
      </c>
      <c r="B100" s="588" t="s">
        <v>604</v>
      </c>
      <c r="C100" s="576">
        <v>54</v>
      </c>
      <c r="D100" s="576">
        <v>99</v>
      </c>
      <c r="E100" s="576">
        <v>26</v>
      </c>
      <c r="F100" s="576">
        <v>66</v>
      </c>
      <c r="G100" s="576">
        <v>54</v>
      </c>
      <c r="H100" s="576">
        <v>79</v>
      </c>
      <c r="I100" s="576">
        <v>61</v>
      </c>
      <c r="J100" s="576">
        <v>0</v>
      </c>
      <c r="K100" s="576">
        <v>0</v>
      </c>
      <c r="L100" s="576">
        <v>-61</v>
      </c>
      <c r="M100" s="576">
        <v>0</v>
      </c>
      <c r="N100" s="587"/>
      <c r="O100" s="586"/>
      <c r="P100" s="576"/>
      <c r="Q100" s="576"/>
      <c r="R100" s="576"/>
      <c r="S100" s="576"/>
      <c r="T100" s="576"/>
      <c r="U100" s="576"/>
      <c r="V100" s="576"/>
      <c r="W100" s="576"/>
      <c r="X100" s="576"/>
    </row>
    <row r="101" spans="1:24" x14ac:dyDescent="0.35">
      <c r="A101">
        <v>1018</v>
      </c>
      <c r="B101" s="588" t="s">
        <v>605</v>
      </c>
      <c r="C101" s="576">
        <v>70</v>
      </c>
      <c r="D101" s="576">
        <v>68</v>
      </c>
      <c r="E101" s="576">
        <v>19</v>
      </c>
      <c r="F101" s="576">
        <v>75</v>
      </c>
      <c r="G101" s="576">
        <v>66</v>
      </c>
      <c r="H101" s="576">
        <v>80</v>
      </c>
      <c r="I101" s="576">
        <v>70</v>
      </c>
      <c r="J101" s="576">
        <v>0</v>
      </c>
      <c r="K101" s="576">
        <v>0</v>
      </c>
      <c r="L101" s="576">
        <v>-70</v>
      </c>
      <c r="M101" s="576">
        <v>0</v>
      </c>
      <c r="N101" s="587"/>
      <c r="O101" s="586"/>
      <c r="P101" s="576"/>
      <c r="Q101" s="576"/>
      <c r="R101" s="576"/>
      <c r="S101" s="576"/>
      <c r="T101" s="576"/>
      <c r="U101" s="576"/>
      <c r="V101" s="576"/>
      <c r="W101" s="576"/>
      <c r="X101" s="576"/>
    </row>
    <row r="102" spans="1:24" x14ac:dyDescent="0.35">
      <c r="A102">
        <v>1021</v>
      </c>
      <c r="B102" s="588" t="s">
        <v>606</v>
      </c>
      <c r="C102" s="576">
        <v>221</v>
      </c>
      <c r="D102" s="576">
        <v>179</v>
      </c>
      <c r="E102" s="576">
        <v>130</v>
      </c>
      <c r="F102" s="576">
        <v>175</v>
      </c>
      <c r="G102" s="576">
        <v>211</v>
      </c>
      <c r="H102" s="576">
        <v>221</v>
      </c>
      <c r="I102" s="576">
        <v>141</v>
      </c>
      <c r="J102" s="576">
        <v>121</v>
      </c>
      <c r="K102" s="576">
        <v>0</v>
      </c>
      <c r="L102" s="576">
        <v>-20</v>
      </c>
      <c r="M102" s="576">
        <v>-121</v>
      </c>
      <c r="N102" s="587"/>
      <c r="O102" s="586"/>
      <c r="P102" s="576"/>
      <c r="Q102" s="576"/>
      <c r="R102" s="576"/>
      <c r="S102" s="576"/>
      <c r="T102" s="576"/>
      <c r="U102" s="576"/>
      <c r="V102" s="576"/>
      <c r="W102" s="576"/>
      <c r="X102" s="576"/>
    </row>
    <row r="103" spans="1:24" x14ac:dyDescent="0.35">
      <c r="A103">
        <v>1025</v>
      </c>
      <c r="B103" s="588" t="s">
        <v>607</v>
      </c>
      <c r="C103" s="576">
        <v>29</v>
      </c>
      <c r="D103" s="576">
        <v>30</v>
      </c>
      <c r="E103" s="576">
        <v>14</v>
      </c>
      <c r="F103" s="576">
        <v>12</v>
      </c>
      <c r="G103" s="576">
        <v>11</v>
      </c>
      <c r="H103" s="576">
        <v>29</v>
      </c>
      <c r="I103" s="576">
        <v>27</v>
      </c>
      <c r="J103" s="576">
        <v>24</v>
      </c>
      <c r="K103" s="576">
        <v>30</v>
      </c>
      <c r="L103" s="576">
        <v>-3</v>
      </c>
      <c r="M103" s="576">
        <v>6</v>
      </c>
      <c r="N103" s="587"/>
      <c r="O103" s="586"/>
      <c r="P103" s="576"/>
      <c r="Q103" s="576"/>
      <c r="R103" s="576"/>
      <c r="S103" s="576"/>
      <c r="T103" s="576"/>
      <c r="U103" s="576"/>
      <c r="V103" s="576"/>
      <c r="W103" s="576"/>
      <c r="X103" s="576"/>
    </row>
    <row r="104" spans="1:24" x14ac:dyDescent="0.35">
      <c r="A104">
        <v>1027</v>
      </c>
      <c r="B104" s="588" t="s">
        <v>608</v>
      </c>
      <c r="C104" s="576">
        <v>32</v>
      </c>
      <c r="D104" s="576">
        <v>25</v>
      </c>
      <c r="E104" s="576">
        <v>12</v>
      </c>
      <c r="F104" s="576">
        <v>13</v>
      </c>
      <c r="G104" s="576">
        <v>13</v>
      </c>
      <c r="H104" s="576">
        <v>9</v>
      </c>
      <c r="I104" s="576"/>
      <c r="J104" s="576"/>
      <c r="K104" s="576"/>
      <c r="L104" s="576">
        <v>0</v>
      </c>
      <c r="M104" s="576">
        <v>0</v>
      </c>
      <c r="N104" s="587"/>
      <c r="O104" s="586"/>
      <c r="P104" s="576"/>
      <c r="Q104" s="576"/>
      <c r="R104" s="576"/>
      <c r="S104" s="576"/>
      <c r="T104" s="576"/>
      <c r="U104" s="576"/>
      <c r="V104" s="576"/>
      <c r="W104" s="576"/>
      <c r="X104" s="576"/>
    </row>
    <row r="105" spans="1:24" x14ac:dyDescent="0.35">
      <c r="A105">
        <v>1028</v>
      </c>
      <c r="B105" s="588" t="s">
        <v>609</v>
      </c>
      <c r="C105" s="576">
        <v>54</v>
      </c>
      <c r="D105" s="576">
        <v>44</v>
      </c>
      <c r="E105" s="576">
        <v>59</v>
      </c>
      <c r="F105" s="576">
        <v>74</v>
      </c>
      <c r="G105" s="576">
        <v>63</v>
      </c>
      <c r="H105" s="576">
        <v>71</v>
      </c>
      <c r="I105" s="576">
        <v>66</v>
      </c>
      <c r="J105" s="576">
        <v>61</v>
      </c>
      <c r="K105" s="576">
        <v>51</v>
      </c>
      <c r="L105" s="576">
        <v>-5</v>
      </c>
      <c r="M105" s="576">
        <v>-10</v>
      </c>
      <c r="N105" s="587"/>
      <c r="O105" s="586"/>
      <c r="P105" s="576"/>
      <c r="Q105" s="576"/>
      <c r="R105" s="576"/>
      <c r="S105" s="576"/>
      <c r="T105" s="576"/>
      <c r="U105" s="576"/>
      <c r="V105" s="576"/>
      <c r="W105" s="576"/>
      <c r="X105" s="576"/>
    </row>
    <row r="106" spans="1:24" x14ac:dyDescent="0.35">
      <c r="A106">
        <v>1073</v>
      </c>
      <c r="B106" s="588" t="s">
        <v>610</v>
      </c>
      <c r="C106" s="576">
        <v>37</v>
      </c>
      <c r="D106" s="576">
        <v>46</v>
      </c>
      <c r="E106" s="576">
        <v>52</v>
      </c>
      <c r="F106" s="576">
        <v>34</v>
      </c>
      <c r="G106" s="576">
        <v>41</v>
      </c>
      <c r="H106" s="576">
        <v>49</v>
      </c>
      <c r="I106" s="576">
        <v>19</v>
      </c>
      <c r="J106" s="576">
        <v>22</v>
      </c>
      <c r="K106" s="576">
        <v>22</v>
      </c>
      <c r="L106" s="576">
        <v>3</v>
      </c>
      <c r="M106" s="576">
        <v>0</v>
      </c>
      <c r="N106" s="587"/>
      <c r="O106" s="586"/>
      <c r="P106" s="576"/>
      <c r="Q106" s="576"/>
      <c r="R106" s="576"/>
      <c r="S106" s="576"/>
      <c r="T106" s="576"/>
      <c r="U106" s="576"/>
      <c r="V106" s="576"/>
      <c r="W106" s="576"/>
      <c r="X106" s="576"/>
    </row>
    <row r="107" spans="1:24" x14ac:dyDescent="0.35">
      <c r="A107">
        <v>7004</v>
      </c>
      <c r="B107" s="588" t="s">
        <v>611</v>
      </c>
      <c r="C107" s="576">
        <v>166</v>
      </c>
      <c r="D107" s="576">
        <v>143</v>
      </c>
      <c r="E107" s="589">
        <v>1196</v>
      </c>
      <c r="F107" s="576">
        <v>542</v>
      </c>
      <c r="G107" s="576">
        <v>276</v>
      </c>
      <c r="H107" s="576">
        <v>226</v>
      </c>
      <c r="I107" s="576">
        <v>214</v>
      </c>
      <c r="J107" s="576">
        <v>150</v>
      </c>
      <c r="K107" s="576">
        <v>157</v>
      </c>
      <c r="L107" s="576">
        <v>-64</v>
      </c>
      <c r="M107" s="576">
        <v>7</v>
      </c>
      <c r="N107" s="587"/>
      <c r="O107" s="596"/>
      <c r="P107" s="576"/>
      <c r="Q107" s="576"/>
      <c r="R107" s="576"/>
      <c r="S107" s="576"/>
      <c r="T107" s="576"/>
      <c r="U107" s="576"/>
      <c r="V107" s="576"/>
      <c r="W107" s="576"/>
      <c r="X107" s="576"/>
    </row>
    <row r="108" spans="1:24" x14ac:dyDescent="0.35">
      <c r="A108" t="s">
        <v>612</v>
      </c>
      <c r="B108" s="588" t="s">
        <v>613</v>
      </c>
      <c r="C108" s="576">
        <v>141</v>
      </c>
      <c r="D108" s="576">
        <v>166</v>
      </c>
      <c r="E108" s="576">
        <v>361</v>
      </c>
      <c r="F108" s="576">
        <v>457</v>
      </c>
      <c r="G108" s="576">
        <v>359</v>
      </c>
      <c r="H108" s="576">
        <v>306</v>
      </c>
      <c r="I108" s="576">
        <v>448</v>
      </c>
      <c r="J108" s="576">
        <v>332</v>
      </c>
      <c r="K108" s="576">
        <v>282</v>
      </c>
      <c r="L108" s="576">
        <v>-116</v>
      </c>
      <c r="M108" s="576">
        <v>-50</v>
      </c>
      <c r="N108" s="587"/>
      <c r="O108" s="586"/>
      <c r="P108" s="576"/>
      <c r="Q108" s="576"/>
      <c r="R108" s="576"/>
      <c r="S108" s="576"/>
      <c r="T108" s="576"/>
      <c r="U108" s="576"/>
      <c r="V108" s="576"/>
      <c r="W108" s="576"/>
      <c r="X108" s="576"/>
    </row>
    <row r="109" spans="1:24" x14ac:dyDescent="0.35">
      <c r="B109" s="595" t="s">
        <v>614</v>
      </c>
      <c r="C109" s="593">
        <v>6350</v>
      </c>
      <c r="D109" s="593">
        <v>6719</v>
      </c>
      <c r="E109" s="593">
        <v>7437</v>
      </c>
      <c r="F109" s="593">
        <v>8285</v>
      </c>
      <c r="G109" s="593">
        <v>9218</v>
      </c>
      <c r="H109" s="593">
        <v>9634</v>
      </c>
      <c r="I109" s="593">
        <v>9806</v>
      </c>
      <c r="J109" s="594">
        <v>9899</v>
      </c>
      <c r="K109" s="593">
        <v>9977</v>
      </c>
      <c r="L109" s="592">
        <v>93</v>
      </c>
      <c r="M109" s="592">
        <v>78</v>
      </c>
      <c r="N109" s="591"/>
      <c r="O109" s="590"/>
      <c r="P109" s="576"/>
      <c r="Q109" s="579"/>
      <c r="R109" s="576"/>
      <c r="S109" s="576"/>
      <c r="T109" s="576"/>
      <c r="U109" s="576"/>
      <c r="V109" s="576"/>
      <c r="W109" s="576"/>
      <c r="X109" s="576"/>
    </row>
    <row r="110" spans="1:24" x14ac:dyDescent="0.35">
      <c r="A110">
        <v>6501</v>
      </c>
      <c r="B110" s="588" t="s">
        <v>615</v>
      </c>
      <c r="C110" s="576">
        <v>560</v>
      </c>
      <c r="D110" s="576">
        <v>426</v>
      </c>
      <c r="E110" s="576">
        <v>340</v>
      </c>
      <c r="F110" s="576">
        <v>356</v>
      </c>
      <c r="G110" s="576">
        <v>362</v>
      </c>
      <c r="H110" s="576">
        <v>392</v>
      </c>
      <c r="I110" s="576">
        <v>369</v>
      </c>
      <c r="J110" s="576">
        <v>346</v>
      </c>
      <c r="K110" s="576">
        <v>365</v>
      </c>
      <c r="L110" s="576">
        <v>-23</v>
      </c>
      <c r="M110" s="576">
        <v>19</v>
      </c>
      <c r="N110" s="587"/>
      <c r="O110" s="586"/>
      <c r="P110" s="576"/>
      <c r="Q110" s="576"/>
      <c r="R110" s="576"/>
      <c r="S110" s="576"/>
      <c r="T110" s="576"/>
      <c r="U110" s="576"/>
      <c r="V110" s="576"/>
      <c r="W110" s="576"/>
      <c r="X110" s="576"/>
    </row>
    <row r="111" spans="1:24" x14ac:dyDescent="0.35">
      <c r="A111">
        <v>6507</v>
      </c>
      <c r="B111" s="588" t="s">
        <v>616</v>
      </c>
      <c r="C111" s="589">
        <v>1447</v>
      </c>
      <c r="D111" s="589">
        <v>1547</v>
      </c>
      <c r="E111" s="589">
        <v>1665</v>
      </c>
      <c r="F111" s="589">
        <v>1819</v>
      </c>
      <c r="G111" s="589">
        <v>1848</v>
      </c>
      <c r="H111" s="589">
        <v>1912</v>
      </c>
      <c r="I111" s="589">
        <v>1915</v>
      </c>
      <c r="J111" s="589">
        <v>1931</v>
      </c>
      <c r="K111" s="589">
        <v>2026</v>
      </c>
      <c r="L111" s="576">
        <v>16</v>
      </c>
      <c r="M111" s="576">
        <v>95</v>
      </c>
      <c r="N111" s="587"/>
      <c r="O111" s="586"/>
      <c r="P111" s="576"/>
      <c r="Q111" s="576"/>
      <c r="R111" s="576"/>
      <c r="S111" s="576"/>
      <c r="T111" s="576"/>
      <c r="U111" s="576"/>
      <c r="V111" s="576"/>
      <c r="W111" s="576"/>
      <c r="X111" s="576"/>
    </row>
    <row r="112" spans="1:24" x14ac:dyDescent="0.35">
      <c r="A112">
        <v>6508</v>
      </c>
      <c r="B112" s="588" t="s">
        <v>617</v>
      </c>
      <c r="C112" s="576">
        <v>553</v>
      </c>
      <c r="D112" s="576">
        <v>552</v>
      </c>
      <c r="E112" s="576">
        <v>553</v>
      </c>
      <c r="F112" s="576">
        <v>556</v>
      </c>
      <c r="G112" s="576">
        <v>556</v>
      </c>
      <c r="H112" s="576">
        <v>560</v>
      </c>
      <c r="I112" s="576">
        <v>558</v>
      </c>
      <c r="J112" s="576">
        <v>556</v>
      </c>
      <c r="K112" s="576">
        <v>564</v>
      </c>
      <c r="L112" s="576">
        <v>-2</v>
      </c>
      <c r="M112" s="576">
        <v>8</v>
      </c>
      <c r="N112" s="587"/>
      <c r="O112" s="586"/>
      <c r="P112" s="576"/>
      <c r="Q112" s="576"/>
      <c r="R112" s="576"/>
      <c r="S112" s="576"/>
      <c r="T112" s="576"/>
      <c r="U112" s="576"/>
      <c r="V112" s="576"/>
      <c r="W112" s="576"/>
      <c r="X112" s="576"/>
    </row>
    <row r="113" spans="1:24" x14ac:dyDescent="0.35">
      <c r="A113">
        <v>6509</v>
      </c>
      <c r="B113" s="588" t="s">
        <v>618</v>
      </c>
      <c r="C113" s="576">
        <v>335</v>
      </c>
      <c r="D113" s="576">
        <v>344</v>
      </c>
      <c r="E113" s="576">
        <v>320</v>
      </c>
      <c r="F113" s="576">
        <v>332</v>
      </c>
      <c r="G113" s="576">
        <v>332</v>
      </c>
      <c r="H113" s="576">
        <v>342</v>
      </c>
      <c r="I113" s="576">
        <v>339</v>
      </c>
      <c r="J113" s="576">
        <v>348</v>
      </c>
      <c r="K113" s="576">
        <v>362</v>
      </c>
      <c r="L113" s="576">
        <v>9</v>
      </c>
      <c r="M113" s="576">
        <v>14</v>
      </c>
      <c r="N113" s="587"/>
      <c r="O113" s="586"/>
      <c r="P113" s="576"/>
      <c r="Q113" s="576"/>
      <c r="R113" s="576"/>
      <c r="S113" s="576"/>
      <c r="T113" s="576"/>
      <c r="U113" s="576"/>
      <c r="V113" s="576"/>
      <c r="W113" s="576"/>
      <c r="X113" s="576"/>
    </row>
    <row r="114" spans="1:24" x14ac:dyDescent="0.35">
      <c r="A114">
        <v>6511</v>
      </c>
      <c r="B114" s="588" t="s">
        <v>619</v>
      </c>
      <c r="C114" s="576">
        <v>124</v>
      </c>
      <c r="D114" s="576">
        <v>128</v>
      </c>
      <c r="E114" s="576">
        <v>109</v>
      </c>
      <c r="F114" s="576">
        <v>116</v>
      </c>
      <c r="G114" s="576">
        <v>131</v>
      </c>
      <c r="H114" s="576">
        <v>131</v>
      </c>
      <c r="I114" s="576">
        <v>137</v>
      </c>
      <c r="J114" s="576">
        <v>138</v>
      </c>
      <c r="K114" s="576">
        <v>131</v>
      </c>
      <c r="L114" s="576">
        <v>1</v>
      </c>
      <c r="M114" s="576">
        <v>-7</v>
      </c>
      <c r="N114" s="587"/>
      <c r="O114" s="586"/>
      <c r="P114" s="576"/>
      <c r="Q114" s="576"/>
      <c r="R114" s="576"/>
      <c r="S114" s="576"/>
      <c r="T114" s="576"/>
      <c r="U114" s="576"/>
      <c r="V114" s="576"/>
      <c r="W114" s="576"/>
      <c r="X114" s="576"/>
    </row>
    <row r="115" spans="1:24" x14ac:dyDescent="0.35">
      <c r="A115">
        <v>6515</v>
      </c>
      <c r="B115" s="588" t="s">
        <v>620</v>
      </c>
      <c r="C115" s="576">
        <v>438</v>
      </c>
      <c r="D115" s="576">
        <v>443</v>
      </c>
      <c r="E115" s="576">
        <v>502</v>
      </c>
      <c r="F115" s="576">
        <v>535</v>
      </c>
      <c r="G115" s="576">
        <v>586</v>
      </c>
      <c r="H115" s="576">
        <v>617</v>
      </c>
      <c r="I115" s="576">
        <v>664</v>
      </c>
      <c r="J115" s="576">
        <v>721</v>
      </c>
      <c r="K115" s="576">
        <v>717</v>
      </c>
      <c r="L115" s="576">
        <v>57</v>
      </c>
      <c r="M115" s="576">
        <v>-4</v>
      </c>
      <c r="N115" s="587"/>
      <c r="O115" s="586"/>
      <c r="P115" s="576"/>
      <c r="Q115" s="576"/>
      <c r="R115" s="576"/>
      <c r="S115" s="576"/>
      <c r="T115" s="576"/>
      <c r="U115" s="576"/>
      <c r="V115" s="576"/>
      <c r="W115" s="576"/>
      <c r="X115" s="576"/>
    </row>
    <row r="116" spans="1:24" x14ac:dyDescent="0.35">
      <c r="A116">
        <v>6521</v>
      </c>
      <c r="B116" s="588" t="s">
        <v>621</v>
      </c>
      <c r="C116" s="576"/>
      <c r="D116" s="576"/>
      <c r="E116" s="576"/>
      <c r="F116" s="576"/>
      <c r="G116" s="576"/>
      <c r="H116" s="576">
        <v>80</v>
      </c>
      <c r="I116" s="576">
        <v>224</v>
      </c>
      <c r="J116" s="576">
        <v>254</v>
      </c>
      <c r="K116" s="576">
        <v>300</v>
      </c>
      <c r="L116" s="576">
        <v>30</v>
      </c>
      <c r="M116" s="576">
        <v>46</v>
      </c>
      <c r="N116" s="587"/>
      <c r="O116" s="586"/>
      <c r="P116" s="576"/>
      <c r="Q116" s="576"/>
      <c r="R116" s="576"/>
      <c r="S116" s="576"/>
      <c r="T116" s="576"/>
      <c r="U116" s="576"/>
      <c r="V116" s="576"/>
      <c r="W116" s="576"/>
      <c r="X116" s="576"/>
    </row>
    <row r="117" spans="1:24" x14ac:dyDescent="0.35">
      <c r="A117">
        <v>6523</v>
      </c>
      <c r="B117" s="588" t="s">
        <v>622</v>
      </c>
      <c r="C117" s="576">
        <v>358</v>
      </c>
      <c r="D117" s="576">
        <v>365</v>
      </c>
      <c r="E117" s="576">
        <v>339</v>
      </c>
      <c r="F117" s="576">
        <v>355</v>
      </c>
      <c r="G117" s="576">
        <v>341</v>
      </c>
      <c r="H117" s="576">
        <v>364</v>
      </c>
      <c r="I117" s="576">
        <v>339</v>
      </c>
      <c r="J117" s="576">
        <v>330</v>
      </c>
      <c r="K117" s="576">
        <v>318</v>
      </c>
      <c r="L117" s="576">
        <v>-9</v>
      </c>
      <c r="M117" s="576">
        <v>-12</v>
      </c>
      <c r="N117" s="587"/>
      <c r="O117" s="586"/>
      <c r="P117" s="576"/>
      <c r="Q117" s="576"/>
      <c r="R117" s="576"/>
      <c r="S117" s="576"/>
      <c r="T117" s="576"/>
      <c r="U117" s="576"/>
      <c r="V117" s="576"/>
      <c r="W117" s="576"/>
      <c r="X117" s="576"/>
    </row>
    <row r="118" spans="1:24" x14ac:dyDescent="0.35">
      <c r="A118">
        <v>6529</v>
      </c>
      <c r="B118" s="588" t="s">
        <v>623</v>
      </c>
      <c r="C118" s="576"/>
      <c r="D118" s="576"/>
      <c r="E118" s="576"/>
      <c r="F118" s="576"/>
      <c r="G118" s="576">
        <v>562</v>
      </c>
      <c r="H118" s="576">
        <v>690</v>
      </c>
      <c r="I118" s="576">
        <v>724</v>
      </c>
      <c r="J118" s="576">
        <v>742</v>
      </c>
      <c r="K118" s="576">
        <v>739</v>
      </c>
      <c r="L118" s="576">
        <v>18</v>
      </c>
      <c r="M118" s="576">
        <v>-3</v>
      </c>
      <c r="N118" s="587"/>
      <c r="O118" s="586"/>
      <c r="P118" s="576"/>
      <c r="Q118" s="576"/>
      <c r="R118" s="576"/>
      <c r="S118" s="576"/>
      <c r="T118" s="576"/>
      <c r="U118" s="576"/>
      <c r="V118" s="576"/>
      <c r="W118" s="576"/>
      <c r="X118" s="576"/>
    </row>
    <row r="119" spans="1:24" x14ac:dyDescent="0.35">
      <c r="A119">
        <v>6540</v>
      </c>
      <c r="B119" s="588" t="s">
        <v>624</v>
      </c>
      <c r="C119" s="589">
        <v>1054</v>
      </c>
      <c r="D119" s="589">
        <v>1052</v>
      </c>
      <c r="E119" s="589">
        <v>1282</v>
      </c>
      <c r="F119" s="589">
        <v>1350</v>
      </c>
      <c r="G119" s="589">
        <v>1530</v>
      </c>
      <c r="H119" s="589">
        <v>1562</v>
      </c>
      <c r="I119" s="589">
        <v>1529</v>
      </c>
      <c r="J119" s="589">
        <v>1509</v>
      </c>
      <c r="K119" s="589">
        <v>1485</v>
      </c>
      <c r="L119" s="576">
        <v>-20</v>
      </c>
      <c r="M119" s="576">
        <v>-24</v>
      </c>
      <c r="N119" s="587"/>
      <c r="O119" s="586"/>
      <c r="P119" s="576"/>
      <c r="Q119" s="576"/>
      <c r="R119" s="576"/>
      <c r="S119" s="576"/>
      <c r="T119" s="576"/>
      <c r="U119" s="576"/>
      <c r="V119" s="576"/>
      <c r="W119" s="576"/>
      <c r="X119" s="576"/>
    </row>
    <row r="120" spans="1:24" x14ac:dyDescent="0.35">
      <c r="A120">
        <v>6541</v>
      </c>
      <c r="B120" s="588" t="s">
        <v>625</v>
      </c>
      <c r="C120" s="576">
        <v>405</v>
      </c>
      <c r="D120" s="576">
        <v>404</v>
      </c>
      <c r="E120" s="576">
        <v>415</v>
      </c>
      <c r="F120" s="576">
        <v>413</v>
      </c>
      <c r="G120" s="576">
        <v>458</v>
      </c>
      <c r="H120" s="576">
        <v>457</v>
      </c>
      <c r="I120" s="576">
        <v>462</v>
      </c>
      <c r="J120" s="576">
        <v>461</v>
      </c>
      <c r="K120" s="576">
        <v>494</v>
      </c>
      <c r="L120" s="576">
        <v>-1</v>
      </c>
      <c r="M120" s="576">
        <v>33</v>
      </c>
      <c r="N120" s="587"/>
      <c r="O120" s="586"/>
      <c r="P120" s="576"/>
      <c r="Q120" s="576"/>
      <c r="R120" s="576"/>
      <c r="S120" s="576"/>
      <c r="T120" s="576"/>
      <c r="U120" s="576"/>
      <c r="V120" s="576"/>
      <c r="W120" s="576"/>
      <c r="X120" s="576"/>
    </row>
    <row r="121" spans="1:24" x14ac:dyDescent="0.35">
      <c r="A121">
        <v>6543</v>
      </c>
      <c r="B121" s="588" t="s">
        <v>626</v>
      </c>
      <c r="C121" s="576">
        <v>602</v>
      </c>
      <c r="D121" s="576">
        <v>859</v>
      </c>
      <c r="E121" s="576">
        <v>919</v>
      </c>
      <c r="F121" s="589">
        <v>1027</v>
      </c>
      <c r="G121" s="589">
        <v>1043</v>
      </c>
      <c r="H121" s="589">
        <v>1067</v>
      </c>
      <c r="I121" s="589">
        <v>1065</v>
      </c>
      <c r="J121" s="589">
        <v>1065</v>
      </c>
      <c r="K121" s="589">
        <v>1117</v>
      </c>
      <c r="L121" s="576">
        <v>0</v>
      </c>
      <c r="M121" s="576">
        <v>52</v>
      </c>
      <c r="N121" s="587"/>
      <c r="O121" s="586"/>
      <c r="P121" s="576"/>
      <c r="Q121" s="576"/>
      <c r="R121" s="576"/>
      <c r="S121" s="576"/>
      <c r="T121" s="576"/>
      <c r="U121" s="576"/>
      <c r="V121" s="576"/>
      <c r="W121" s="576"/>
      <c r="X121" s="576"/>
    </row>
    <row r="122" spans="1:24" x14ac:dyDescent="0.35">
      <c r="A122">
        <v>6554</v>
      </c>
      <c r="B122" s="588" t="s">
        <v>627</v>
      </c>
      <c r="C122" s="576">
        <v>474</v>
      </c>
      <c r="D122" s="576">
        <v>599</v>
      </c>
      <c r="E122" s="576">
        <v>649</v>
      </c>
      <c r="F122" s="576">
        <v>823</v>
      </c>
      <c r="G122" s="576">
        <v>796</v>
      </c>
      <c r="H122" s="576">
        <v>799</v>
      </c>
      <c r="I122" s="576">
        <v>832</v>
      </c>
      <c r="J122" s="576">
        <v>925</v>
      </c>
      <c r="K122" s="576">
        <v>929</v>
      </c>
      <c r="L122" s="576">
        <v>93</v>
      </c>
      <c r="M122" s="576">
        <v>4</v>
      </c>
      <c r="N122" s="587"/>
      <c r="O122" s="586"/>
      <c r="P122" s="576"/>
      <c r="Q122" s="576"/>
      <c r="R122" s="576"/>
      <c r="S122" s="576"/>
      <c r="T122" s="576"/>
      <c r="U122" s="576"/>
      <c r="V122" s="576"/>
      <c r="W122" s="576"/>
      <c r="X122" s="576"/>
    </row>
    <row r="123" spans="1:24" x14ac:dyDescent="0.35">
      <c r="A123">
        <v>6558</v>
      </c>
      <c r="B123" s="588" t="s">
        <v>628</v>
      </c>
      <c r="C123" s="576"/>
      <c r="D123" s="576"/>
      <c r="E123" s="576">
        <v>344</v>
      </c>
      <c r="F123" s="576">
        <v>603</v>
      </c>
      <c r="G123" s="576">
        <v>673</v>
      </c>
      <c r="H123" s="576">
        <v>661</v>
      </c>
      <c r="I123" s="576">
        <v>649</v>
      </c>
      <c r="J123" s="576">
        <v>573</v>
      </c>
      <c r="K123" s="576">
        <v>430</v>
      </c>
      <c r="L123" s="576">
        <v>-76</v>
      </c>
      <c r="M123" s="576">
        <v>-143</v>
      </c>
      <c r="N123" s="587"/>
      <c r="O123" s="586"/>
      <c r="P123" s="576"/>
      <c r="Q123" s="576"/>
      <c r="R123" s="576"/>
      <c r="S123" s="576"/>
      <c r="T123" s="576"/>
      <c r="U123" s="576"/>
      <c r="V123" s="576"/>
      <c r="W123" s="576"/>
      <c r="X123" s="576"/>
    </row>
    <row r="124" spans="1:24" ht="15" thickBot="1" x14ac:dyDescent="0.4">
      <c r="B124" s="585" t="s">
        <v>504</v>
      </c>
      <c r="C124" s="582">
        <v>73534</v>
      </c>
      <c r="D124" s="582">
        <v>73791</v>
      </c>
      <c r="E124" s="582">
        <v>71315</v>
      </c>
      <c r="F124" s="582">
        <v>72909</v>
      </c>
      <c r="G124" s="582">
        <v>74542</v>
      </c>
      <c r="H124" s="582">
        <v>74117</v>
      </c>
      <c r="I124" s="582">
        <v>74098</v>
      </c>
      <c r="J124" s="584">
        <v>72068</v>
      </c>
      <c r="K124" s="582">
        <v>67426</v>
      </c>
      <c r="L124" s="583">
        <v>-2030</v>
      </c>
      <c r="M124" s="582">
        <v>-4642</v>
      </c>
      <c r="N124" s="581"/>
      <c r="O124" s="580"/>
      <c r="P124" s="576"/>
      <c r="Q124" s="579"/>
      <c r="R124" s="576"/>
      <c r="S124" s="576"/>
      <c r="T124" s="576"/>
      <c r="U124" s="576"/>
      <c r="V124" s="576"/>
      <c r="W124" s="576"/>
      <c r="X124" s="576"/>
    </row>
    <row r="125" spans="1:24" x14ac:dyDescent="0.35">
      <c r="B125" s="576"/>
      <c r="C125" s="576"/>
      <c r="D125" s="576"/>
      <c r="E125" s="576"/>
      <c r="F125" s="576"/>
      <c r="G125" s="576"/>
      <c r="H125" s="576"/>
      <c r="I125" s="576"/>
      <c r="J125" s="576"/>
      <c r="K125" s="576"/>
      <c r="L125" s="576"/>
      <c r="M125" s="576"/>
      <c r="N125" s="576"/>
      <c r="O125" s="577"/>
      <c r="P125" s="576"/>
      <c r="Q125" s="576"/>
      <c r="R125" s="576"/>
      <c r="S125" s="576"/>
      <c r="T125" s="576"/>
      <c r="U125" s="576"/>
      <c r="V125" s="576"/>
      <c r="W125" s="576"/>
      <c r="X125" s="576"/>
    </row>
    <row r="126" spans="1:24" x14ac:dyDescent="0.35">
      <c r="B126" s="576"/>
      <c r="C126" s="576"/>
      <c r="D126" s="576"/>
      <c r="E126" s="576"/>
      <c r="F126" s="576"/>
      <c r="G126" s="576"/>
      <c r="H126" s="576"/>
      <c r="I126" s="578"/>
      <c r="J126" s="578"/>
      <c r="K126" s="578"/>
      <c r="L126" s="578"/>
      <c r="M126" s="578"/>
      <c r="N126" s="576"/>
      <c r="O126" s="577"/>
      <c r="P126" s="576"/>
      <c r="Q126" s="576"/>
      <c r="R126" s="576"/>
      <c r="S126" s="576"/>
      <c r="T126" s="576"/>
      <c r="U126" s="576"/>
      <c r="V126" s="576"/>
      <c r="W126" s="576"/>
      <c r="X126" s="57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E5D3-BF6D-48E5-849A-5789A445BCEA}">
  <dimension ref="A1:V124"/>
  <sheetViews>
    <sheetView workbookViewId="0">
      <selection activeCell="J17" sqref="J17"/>
    </sheetView>
  </sheetViews>
  <sheetFormatPr defaultRowHeight="14.5" x14ac:dyDescent="0.35"/>
  <cols>
    <col min="2" max="2" width="37.08984375" customWidth="1"/>
    <col min="12" max="19" width="0" hidden="1" customWidth="1"/>
    <col min="20" max="20" width="12" customWidth="1"/>
    <col min="22" max="22" width="97.08984375" customWidth="1"/>
  </cols>
  <sheetData>
    <row r="1" spans="1:22" x14ac:dyDescent="0.35">
      <c r="A1">
        <v>1</v>
      </c>
      <c r="B1">
        <f>A1+1</f>
        <v>2</v>
      </c>
      <c r="C1">
        <f t="shared" ref="C1:T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 s="244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</row>
    <row r="2" spans="1:22" x14ac:dyDescent="0.35">
      <c r="B2" t="s">
        <v>510</v>
      </c>
      <c r="C2" t="s">
        <v>511</v>
      </c>
      <c r="V2" t="s">
        <v>639</v>
      </c>
    </row>
    <row r="3" spans="1:22" x14ac:dyDescent="0.35">
      <c r="C3" t="s">
        <v>640</v>
      </c>
      <c r="K3" s="244" t="s">
        <v>641</v>
      </c>
      <c r="T3" s="427" t="s">
        <v>487</v>
      </c>
    </row>
    <row r="4" spans="1:22" x14ac:dyDescent="0.35">
      <c r="C4" t="s">
        <v>642</v>
      </c>
    </row>
    <row r="5" spans="1:22" x14ac:dyDescent="0.35">
      <c r="C5" t="s">
        <v>643</v>
      </c>
      <c r="L5" t="s">
        <v>512</v>
      </c>
    </row>
    <row r="6" spans="1:22" x14ac:dyDescent="0.35">
      <c r="A6" s="244" t="s">
        <v>9</v>
      </c>
      <c r="B6" s="559" t="s">
        <v>12</v>
      </c>
      <c r="C6" s="559">
        <v>2017</v>
      </c>
      <c r="D6" s="559">
        <v>2018</v>
      </c>
      <c r="E6" s="559">
        <v>2019</v>
      </c>
      <c r="F6" s="559">
        <v>2020</v>
      </c>
      <c r="G6" s="559">
        <v>2021</v>
      </c>
      <c r="H6" s="559">
        <v>2022</v>
      </c>
      <c r="I6" s="559">
        <v>2023</v>
      </c>
      <c r="J6" s="559">
        <v>2024</v>
      </c>
      <c r="K6" s="560">
        <v>2025</v>
      </c>
      <c r="L6" s="559">
        <v>2017</v>
      </c>
      <c r="M6" s="559">
        <v>2018</v>
      </c>
      <c r="N6" s="559">
        <v>2019</v>
      </c>
      <c r="O6" s="559">
        <v>2020</v>
      </c>
      <c r="P6" s="559">
        <v>2021</v>
      </c>
      <c r="Q6" s="559">
        <v>2022</v>
      </c>
      <c r="R6" s="559">
        <v>2023</v>
      </c>
      <c r="S6" s="559">
        <v>2024</v>
      </c>
      <c r="T6" s="559">
        <v>2025</v>
      </c>
      <c r="U6" s="559"/>
      <c r="V6" s="559" t="s">
        <v>644</v>
      </c>
    </row>
    <row r="7" spans="1:22" x14ac:dyDescent="0.35">
      <c r="B7" t="s">
        <v>19</v>
      </c>
      <c r="C7" s="249">
        <v>35073</v>
      </c>
      <c r="D7" s="249">
        <v>34615</v>
      </c>
      <c r="E7" s="249">
        <v>34469</v>
      </c>
      <c r="F7" s="249">
        <v>31034</v>
      </c>
      <c r="G7" s="249">
        <v>31734</v>
      </c>
      <c r="H7" s="249">
        <v>32360</v>
      </c>
      <c r="I7" s="249">
        <v>32195</v>
      </c>
      <c r="J7" s="249">
        <v>31986</v>
      </c>
      <c r="K7" s="430">
        <v>32446</v>
      </c>
      <c r="M7">
        <v>-458</v>
      </c>
      <c r="N7">
        <v>-146</v>
      </c>
      <c r="O7" s="249">
        <v>-3435</v>
      </c>
      <c r="P7">
        <v>700</v>
      </c>
      <c r="Q7">
        <v>626</v>
      </c>
      <c r="R7">
        <v>-165</v>
      </c>
      <c r="S7">
        <v>-209</v>
      </c>
      <c r="T7">
        <v>460</v>
      </c>
      <c r="V7" s="566"/>
    </row>
    <row r="8" spans="1:22" x14ac:dyDescent="0.35">
      <c r="A8">
        <v>51</v>
      </c>
      <c r="B8" t="s">
        <v>513</v>
      </c>
      <c r="C8">
        <v>896</v>
      </c>
      <c r="D8">
        <v>723</v>
      </c>
      <c r="E8">
        <v>642</v>
      </c>
      <c r="F8">
        <v>603</v>
      </c>
      <c r="G8">
        <v>561</v>
      </c>
      <c r="H8">
        <v>505</v>
      </c>
      <c r="I8">
        <v>472</v>
      </c>
      <c r="J8">
        <v>473</v>
      </c>
      <c r="K8">
        <v>472</v>
      </c>
      <c r="M8">
        <v>-173</v>
      </c>
      <c r="N8">
        <v>-81</v>
      </c>
      <c r="O8">
        <v>-39</v>
      </c>
      <c r="P8">
        <v>-42</v>
      </c>
      <c r="Q8">
        <v>-56</v>
      </c>
      <c r="R8">
        <v>-33</v>
      </c>
      <c r="S8">
        <v>1</v>
      </c>
      <c r="T8">
        <v>-1</v>
      </c>
      <c r="V8" s="567"/>
    </row>
    <row r="9" spans="1:22" x14ac:dyDescent="0.35">
      <c r="A9">
        <v>61</v>
      </c>
      <c r="B9" t="s">
        <v>514</v>
      </c>
      <c r="C9">
        <v>877</v>
      </c>
      <c r="D9">
        <v>847</v>
      </c>
      <c r="E9">
        <v>836</v>
      </c>
      <c r="F9">
        <v>785</v>
      </c>
      <c r="G9">
        <v>782</v>
      </c>
      <c r="H9">
        <v>731</v>
      </c>
      <c r="I9">
        <v>643</v>
      </c>
      <c r="J9">
        <v>596</v>
      </c>
      <c r="K9">
        <v>579</v>
      </c>
      <c r="M9">
        <v>-30</v>
      </c>
      <c r="N9">
        <v>-11</v>
      </c>
      <c r="O9">
        <v>-51</v>
      </c>
      <c r="P9">
        <v>-3</v>
      </c>
      <c r="Q9">
        <v>-51</v>
      </c>
      <c r="R9">
        <v>-88</v>
      </c>
      <c r="S9">
        <v>-47</v>
      </c>
      <c r="T9">
        <v>-17</v>
      </c>
      <c r="V9" s="567" t="s">
        <v>645</v>
      </c>
    </row>
    <row r="10" spans="1:22" x14ac:dyDescent="0.35">
      <c r="A10">
        <v>91</v>
      </c>
      <c r="B10" t="s">
        <v>515</v>
      </c>
      <c r="C10">
        <v>598</v>
      </c>
      <c r="D10">
        <v>515</v>
      </c>
      <c r="E10">
        <v>520</v>
      </c>
      <c r="F10">
        <v>499</v>
      </c>
      <c r="G10">
        <v>534</v>
      </c>
      <c r="H10">
        <v>560</v>
      </c>
      <c r="I10">
        <v>488</v>
      </c>
      <c r="J10">
        <v>465</v>
      </c>
      <c r="K10">
        <v>472</v>
      </c>
      <c r="M10">
        <v>-83</v>
      </c>
      <c r="N10">
        <v>5</v>
      </c>
      <c r="O10">
        <v>-21</v>
      </c>
      <c r="P10">
        <v>35</v>
      </c>
      <c r="Q10">
        <v>26</v>
      </c>
      <c r="R10">
        <v>-72</v>
      </c>
      <c r="S10">
        <v>-23</v>
      </c>
      <c r="T10">
        <v>7</v>
      </c>
      <c r="V10" s="567"/>
    </row>
    <row r="11" spans="1:22" x14ac:dyDescent="0.35">
      <c r="A11">
        <v>101</v>
      </c>
      <c r="B11" t="s">
        <v>516</v>
      </c>
      <c r="C11">
        <v>510</v>
      </c>
      <c r="D11">
        <v>479</v>
      </c>
      <c r="E11">
        <v>452</v>
      </c>
      <c r="F11">
        <v>389</v>
      </c>
      <c r="G11">
        <v>431</v>
      </c>
      <c r="H11">
        <v>464</v>
      </c>
      <c r="I11">
        <v>416</v>
      </c>
      <c r="J11">
        <v>395</v>
      </c>
      <c r="K11">
        <v>420</v>
      </c>
      <c r="M11">
        <v>-31</v>
      </c>
      <c r="N11">
        <v>-27</v>
      </c>
      <c r="O11">
        <v>-63</v>
      </c>
      <c r="P11">
        <v>42</v>
      </c>
      <c r="Q11">
        <v>33</v>
      </c>
      <c r="R11">
        <v>-48</v>
      </c>
      <c r="S11">
        <v>-21</v>
      </c>
      <c r="T11">
        <v>25</v>
      </c>
      <c r="V11" s="567"/>
    </row>
    <row r="12" spans="1:22" x14ac:dyDescent="0.35">
      <c r="A12">
        <v>122</v>
      </c>
      <c r="B12" t="s">
        <v>517</v>
      </c>
      <c r="D12">
        <v>311</v>
      </c>
      <c r="E12">
        <v>351</v>
      </c>
      <c r="F12">
        <v>367</v>
      </c>
      <c r="G12">
        <v>396</v>
      </c>
      <c r="H12">
        <v>434</v>
      </c>
      <c r="I12">
        <v>446</v>
      </c>
      <c r="J12">
        <v>469</v>
      </c>
      <c r="K12">
        <v>496</v>
      </c>
      <c r="M12">
        <v>311</v>
      </c>
      <c r="N12">
        <v>40</v>
      </c>
      <c r="O12">
        <v>16</v>
      </c>
      <c r="P12">
        <v>29</v>
      </c>
      <c r="Q12">
        <v>38</v>
      </c>
      <c r="R12">
        <v>12</v>
      </c>
      <c r="S12">
        <v>23</v>
      </c>
      <c r="T12">
        <v>27</v>
      </c>
      <c r="V12" s="567"/>
    </row>
    <row r="13" spans="1:22" ht="43.5" x14ac:dyDescent="0.35">
      <c r="A13">
        <v>151</v>
      </c>
      <c r="B13" t="s">
        <v>518</v>
      </c>
      <c r="C13">
        <v>687</v>
      </c>
      <c r="D13">
        <v>639</v>
      </c>
      <c r="E13">
        <v>629</v>
      </c>
      <c r="F13">
        <v>605</v>
      </c>
      <c r="G13">
        <v>624</v>
      </c>
      <c r="H13">
        <v>659</v>
      </c>
      <c r="I13">
        <v>671</v>
      </c>
      <c r="J13">
        <v>607</v>
      </c>
      <c r="K13">
        <v>628</v>
      </c>
      <c r="M13">
        <v>-48</v>
      </c>
      <c r="N13">
        <v>-10</v>
      </c>
      <c r="O13">
        <v>-24</v>
      </c>
      <c r="P13">
        <v>19</v>
      </c>
      <c r="Q13">
        <v>35</v>
      </c>
      <c r="R13">
        <v>12</v>
      </c>
      <c r="S13">
        <v>-64</v>
      </c>
      <c r="T13">
        <v>21</v>
      </c>
      <c r="V13" s="567" t="s">
        <v>662</v>
      </c>
    </row>
    <row r="14" spans="1:22" ht="29" x14ac:dyDescent="0.35">
      <c r="A14">
        <v>181</v>
      </c>
      <c r="B14" t="s">
        <v>519</v>
      </c>
      <c r="C14">
        <v>505</v>
      </c>
      <c r="D14">
        <v>517</v>
      </c>
      <c r="E14">
        <v>496</v>
      </c>
      <c r="F14">
        <v>470</v>
      </c>
      <c r="G14">
        <v>496</v>
      </c>
      <c r="H14">
        <v>521</v>
      </c>
      <c r="I14">
        <v>529</v>
      </c>
      <c r="J14">
        <v>501</v>
      </c>
      <c r="K14">
        <v>519</v>
      </c>
      <c r="M14">
        <v>12</v>
      </c>
      <c r="N14">
        <v>-21</v>
      </c>
      <c r="O14">
        <v>-26</v>
      </c>
      <c r="P14">
        <v>26</v>
      </c>
      <c r="Q14">
        <v>25</v>
      </c>
      <c r="R14">
        <v>8</v>
      </c>
      <c r="S14">
        <v>-28</v>
      </c>
      <c r="T14">
        <v>18</v>
      </c>
      <c r="V14" s="567" t="s">
        <v>663</v>
      </c>
    </row>
    <row r="15" spans="1:22" ht="29" x14ac:dyDescent="0.35">
      <c r="A15">
        <v>191</v>
      </c>
      <c r="B15" t="s">
        <v>520</v>
      </c>
      <c r="C15">
        <v>572</v>
      </c>
      <c r="D15">
        <v>571</v>
      </c>
      <c r="E15">
        <v>543</v>
      </c>
      <c r="F15">
        <v>477</v>
      </c>
      <c r="G15">
        <v>506</v>
      </c>
      <c r="H15">
        <v>503</v>
      </c>
      <c r="I15">
        <v>481</v>
      </c>
      <c r="J15">
        <v>431</v>
      </c>
      <c r="K15">
        <v>408</v>
      </c>
      <c r="M15">
        <v>-1</v>
      </c>
      <c r="N15">
        <v>-28</v>
      </c>
      <c r="O15">
        <v>-66</v>
      </c>
      <c r="P15">
        <v>29</v>
      </c>
      <c r="Q15">
        <v>-3</v>
      </c>
      <c r="R15">
        <v>-22</v>
      </c>
      <c r="S15">
        <v>-50</v>
      </c>
      <c r="T15">
        <v>-23</v>
      </c>
      <c r="V15" s="567" t="s">
        <v>664</v>
      </c>
    </row>
    <row r="16" spans="1:22" ht="29" x14ac:dyDescent="0.35">
      <c r="A16">
        <v>201</v>
      </c>
      <c r="B16" t="s">
        <v>521</v>
      </c>
      <c r="C16">
        <v>693</v>
      </c>
      <c r="D16">
        <v>713</v>
      </c>
      <c r="E16">
        <v>670</v>
      </c>
      <c r="F16">
        <v>633</v>
      </c>
      <c r="G16">
        <v>629</v>
      </c>
      <c r="H16">
        <v>620</v>
      </c>
      <c r="I16">
        <v>635</v>
      </c>
      <c r="J16">
        <v>653</v>
      </c>
      <c r="K16">
        <v>632</v>
      </c>
      <c r="M16">
        <v>20</v>
      </c>
      <c r="N16">
        <v>-43</v>
      </c>
      <c r="O16">
        <v>-37</v>
      </c>
      <c r="P16">
        <v>-4</v>
      </c>
      <c r="Q16">
        <v>-9</v>
      </c>
      <c r="R16">
        <v>15</v>
      </c>
      <c r="S16">
        <v>18</v>
      </c>
      <c r="T16">
        <v>-21</v>
      </c>
      <c r="V16" s="567" t="s">
        <v>665</v>
      </c>
    </row>
    <row r="17" spans="1:22" ht="29" x14ac:dyDescent="0.35">
      <c r="A17">
        <v>301</v>
      </c>
      <c r="B17" t="s">
        <v>522</v>
      </c>
      <c r="C17">
        <v>569</v>
      </c>
      <c r="D17">
        <v>599</v>
      </c>
      <c r="E17">
        <v>607</v>
      </c>
      <c r="F17">
        <v>536</v>
      </c>
      <c r="G17">
        <v>605</v>
      </c>
      <c r="H17">
        <v>597</v>
      </c>
      <c r="I17">
        <v>610</v>
      </c>
      <c r="J17">
        <v>597</v>
      </c>
      <c r="K17">
        <v>585</v>
      </c>
      <c r="M17">
        <v>30</v>
      </c>
      <c r="N17">
        <v>8</v>
      </c>
      <c r="O17">
        <v>-71</v>
      </c>
      <c r="P17">
        <v>69</v>
      </c>
      <c r="Q17">
        <v>-8</v>
      </c>
      <c r="R17">
        <v>13</v>
      </c>
      <c r="S17">
        <v>-13</v>
      </c>
      <c r="T17">
        <v>-12</v>
      </c>
      <c r="V17" s="567" t="s">
        <v>666</v>
      </c>
    </row>
    <row r="18" spans="1:22" x14ac:dyDescent="0.35">
      <c r="A18">
        <v>1041</v>
      </c>
      <c r="B18" t="s">
        <v>523</v>
      </c>
      <c r="C18">
        <v>686</v>
      </c>
      <c r="D18">
        <v>661</v>
      </c>
      <c r="E18">
        <v>632</v>
      </c>
      <c r="F18">
        <v>519</v>
      </c>
      <c r="G18">
        <v>506</v>
      </c>
      <c r="H18">
        <v>495</v>
      </c>
      <c r="I18">
        <v>504</v>
      </c>
      <c r="J18">
        <v>477</v>
      </c>
      <c r="K18">
        <v>491</v>
      </c>
      <c r="M18">
        <v>-25</v>
      </c>
      <c r="N18">
        <v>-29</v>
      </c>
      <c r="O18">
        <v>-113</v>
      </c>
      <c r="P18">
        <v>-13</v>
      </c>
      <c r="Q18">
        <v>-11</v>
      </c>
      <c r="R18">
        <v>9</v>
      </c>
      <c r="S18">
        <v>-27</v>
      </c>
      <c r="T18">
        <v>14</v>
      </c>
      <c r="V18" s="567" t="s">
        <v>646</v>
      </c>
    </row>
    <row r="19" spans="1:22" ht="29" x14ac:dyDescent="0.35">
      <c r="A19">
        <v>1051</v>
      </c>
      <c r="B19" t="s">
        <v>524</v>
      </c>
      <c r="C19">
        <v>821</v>
      </c>
      <c r="D19">
        <v>662</v>
      </c>
      <c r="E19">
        <v>652</v>
      </c>
      <c r="F19">
        <v>608</v>
      </c>
      <c r="G19">
        <v>657</v>
      </c>
      <c r="H19">
        <v>719</v>
      </c>
      <c r="I19">
        <v>720</v>
      </c>
      <c r="J19">
        <v>744</v>
      </c>
      <c r="K19">
        <v>751</v>
      </c>
      <c r="M19">
        <v>-159</v>
      </c>
      <c r="N19">
        <v>-10</v>
      </c>
      <c r="O19">
        <v>-44</v>
      </c>
      <c r="P19">
        <v>49</v>
      </c>
      <c r="Q19">
        <v>62</v>
      </c>
      <c r="R19">
        <v>1</v>
      </c>
      <c r="S19">
        <v>24</v>
      </c>
      <c r="T19">
        <v>7</v>
      </c>
      <c r="V19" s="567" t="s">
        <v>667</v>
      </c>
    </row>
    <row r="20" spans="1:22" ht="29" x14ac:dyDescent="0.35">
      <c r="A20">
        <v>1071</v>
      </c>
      <c r="B20" t="s">
        <v>525</v>
      </c>
      <c r="C20">
        <v>589</v>
      </c>
      <c r="D20">
        <v>555</v>
      </c>
      <c r="E20">
        <v>508</v>
      </c>
      <c r="F20">
        <v>439</v>
      </c>
      <c r="G20">
        <v>454</v>
      </c>
      <c r="H20">
        <v>441</v>
      </c>
      <c r="I20">
        <v>459</v>
      </c>
      <c r="J20">
        <v>448</v>
      </c>
      <c r="K20">
        <v>474</v>
      </c>
      <c r="M20">
        <v>-34</v>
      </c>
      <c r="N20">
        <v>-47</v>
      </c>
      <c r="O20">
        <v>-69</v>
      </c>
      <c r="P20">
        <v>15</v>
      </c>
      <c r="Q20">
        <v>-13</v>
      </c>
      <c r="R20">
        <v>18</v>
      </c>
      <c r="S20">
        <v>-11</v>
      </c>
      <c r="T20">
        <v>26</v>
      </c>
      <c r="V20" s="567" t="s">
        <v>668</v>
      </c>
    </row>
    <row r="21" spans="1:22" x14ac:dyDescent="0.35">
      <c r="A21">
        <v>1091</v>
      </c>
      <c r="B21" t="s">
        <v>526</v>
      </c>
      <c r="C21">
        <v>699</v>
      </c>
      <c r="D21">
        <v>681</v>
      </c>
      <c r="E21">
        <v>667</v>
      </c>
      <c r="F21">
        <v>577</v>
      </c>
      <c r="G21">
        <v>581</v>
      </c>
      <c r="H21">
        <v>617</v>
      </c>
      <c r="I21">
        <v>517</v>
      </c>
      <c r="J21">
        <v>466</v>
      </c>
      <c r="K21">
        <v>460</v>
      </c>
      <c r="M21">
        <v>-18</v>
      </c>
      <c r="N21">
        <v>-14</v>
      </c>
      <c r="O21">
        <v>-90</v>
      </c>
      <c r="P21">
        <v>4</v>
      </c>
      <c r="Q21">
        <v>36</v>
      </c>
      <c r="R21">
        <v>-100</v>
      </c>
      <c r="S21">
        <v>-51</v>
      </c>
      <c r="T21">
        <v>-6</v>
      </c>
      <c r="V21" s="567" t="s">
        <v>647</v>
      </c>
    </row>
    <row r="22" spans="1:22" x14ac:dyDescent="0.35">
      <c r="A22">
        <v>1131</v>
      </c>
      <c r="B22" t="s">
        <v>527</v>
      </c>
      <c r="C22">
        <v>764</v>
      </c>
      <c r="D22">
        <v>853</v>
      </c>
      <c r="E22">
        <v>845</v>
      </c>
      <c r="F22">
        <v>794</v>
      </c>
      <c r="G22">
        <v>678</v>
      </c>
      <c r="H22">
        <v>649</v>
      </c>
      <c r="I22">
        <v>589</v>
      </c>
      <c r="J22">
        <v>622</v>
      </c>
      <c r="K22">
        <v>634</v>
      </c>
      <c r="M22">
        <v>89</v>
      </c>
      <c r="N22">
        <v>-8</v>
      </c>
      <c r="O22">
        <v>-51</v>
      </c>
      <c r="P22">
        <v>-116</v>
      </c>
      <c r="Q22">
        <v>-29</v>
      </c>
      <c r="R22">
        <v>-60</v>
      </c>
      <c r="S22">
        <v>33</v>
      </c>
      <c r="T22">
        <v>12</v>
      </c>
      <c r="V22" s="568" t="s">
        <v>669</v>
      </c>
    </row>
    <row r="23" spans="1:22" ht="29" x14ac:dyDescent="0.35">
      <c r="A23">
        <v>1141</v>
      </c>
      <c r="B23" t="s">
        <v>528</v>
      </c>
      <c r="C23">
        <v>736</v>
      </c>
      <c r="D23">
        <v>720</v>
      </c>
      <c r="E23">
        <v>718</v>
      </c>
      <c r="F23">
        <v>618</v>
      </c>
      <c r="G23">
        <v>592</v>
      </c>
      <c r="H23">
        <v>568</v>
      </c>
      <c r="I23">
        <v>525</v>
      </c>
      <c r="J23">
        <v>481</v>
      </c>
      <c r="K23">
        <v>457</v>
      </c>
      <c r="M23">
        <v>-16</v>
      </c>
      <c r="N23">
        <v>-2</v>
      </c>
      <c r="O23">
        <v>-100</v>
      </c>
      <c r="P23">
        <v>-26</v>
      </c>
      <c r="Q23">
        <v>-24</v>
      </c>
      <c r="R23">
        <v>-43</v>
      </c>
      <c r="S23">
        <v>-44</v>
      </c>
      <c r="T23">
        <v>-24</v>
      </c>
      <c r="V23" s="567" t="s">
        <v>670</v>
      </c>
    </row>
    <row r="24" spans="1:22" x14ac:dyDescent="0.35">
      <c r="A24">
        <v>1151</v>
      </c>
      <c r="B24" t="s">
        <v>529</v>
      </c>
      <c r="C24">
        <v>564</v>
      </c>
      <c r="D24">
        <v>582</v>
      </c>
      <c r="E24">
        <v>574</v>
      </c>
      <c r="F24">
        <v>482</v>
      </c>
      <c r="G24">
        <v>494</v>
      </c>
      <c r="H24">
        <v>451</v>
      </c>
      <c r="I24">
        <v>443</v>
      </c>
      <c r="J24">
        <v>436</v>
      </c>
      <c r="K24">
        <v>395</v>
      </c>
      <c r="M24">
        <v>18</v>
      </c>
      <c r="N24">
        <v>-8</v>
      </c>
      <c r="O24">
        <v>-92</v>
      </c>
      <c r="P24">
        <v>12</v>
      </c>
      <c r="Q24">
        <v>-43</v>
      </c>
      <c r="R24">
        <v>-8</v>
      </c>
      <c r="S24">
        <v>-7</v>
      </c>
      <c r="T24">
        <v>-41</v>
      </c>
      <c r="V24" s="567" t="s">
        <v>648</v>
      </c>
    </row>
    <row r="25" spans="1:22" x14ac:dyDescent="0.35">
      <c r="A25">
        <v>1161</v>
      </c>
      <c r="B25" t="s">
        <v>530</v>
      </c>
      <c r="C25">
        <v>914</v>
      </c>
      <c r="D25">
        <v>949</v>
      </c>
      <c r="E25">
        <v>995</v>
      </c>
      <c r="F25">
        <v>868</v>
      </c>
      <c r="G25">
        <v>843</v>
      </c>
      <c r="H25">
        <v>898</v>
      </c>
      <c r="I25">
        <v>876</v>
      </c>
      <c r="J25">
        <v>910</v>
      </c>
      <c r="K25">
        <v>900</v>
      </c>
      <c r="M25">
        <v>35</v>
      </c>
      <c r="N25">
        <v>46</v>
      </c>
      <c r="O25">
        <v>-127</v>
      </c>
      <c r="P25">
        <v>-25</v>
      </c>
      <c r="Q25">
        <v>55</v>
      </c>
      <c r="R25">
        <v>-22</v>
      </c>
      <c r="S25">
        <v>34</v>
      </c>
      <c r="T25">
        <v>-10</v>
      </c>
      <c r="V25" s="569" t="s">
        <v>671</v>
      </c>
    </row>
    <row r="26" spans="1:22" x14ac:dyDescent="0.35">
      <c r="A26">
        <v>2031</v>
      </c>
      <c r="B26" t="s">
        <v>531</v>
      </c>
      <c r="C26" s="249">
        <v>1002</v>
      </c>
      <c r="D26">
        <v>868</v>
      </c>
      <c r="E26">
        <v>836</v>
      </c>
      <c r="F26">
        <v>772</v>
      </c>
      <c r="G26">
        <v>832</v>
      </c>
      <c r="H26">
        <v>825</v>
      </c>
      <c r="I26">
        <v>797</v>
      </c>
      <c r="J26">
        <v>778</v>
      </c>
      <c r="K26">
        <v>764</v>
      </c>
      <c r="M26">
        <v>-134</v>
      </c>
      <c r="N26">
        <v>-32</v>
      </c>
      <c r="O26">
        <v>-64</v>
      </c>
      <c r="P26">
        <v>60</v>
      </c>
      <c r="Q26">
        <v>-7</v>
      </c>
      <c r="R26">
        <v>-28</v>
      </c>
      <c r="S26">
        <v>-19</v>
      </c>
      <c r="T26">
        <v>-14</v>
      </c>
      <c r="V26" s="567" t="s">
        <v>648</v>
      </c>
    </row>
    <row r="27" spans="1:22" x14ac:dyDescent="0.35">
      <c r="A27">
        <v>2041</v>
      </c>
      <c r="B27" t="s">
        <v>532</v>
      </c>
      <c r="C27">
        <v>749</v>
      </c>
      <c r="D27">
        <v>626</v>
      </c>
      <c r="E27">
        <v>680</v>
      </c>
      <c r="F27">
        <v>661</v>
      </c>
      <c r="G27">
        <v>678</v>
      </c>
      <c r="H27">
        <v>651</v>
      </c>
      <c r="I27">
        <v>655</v>
      </c>
      <c r="J27">
        <v>604</v>
      </c>
      <c r="K27">
        <v>553</v>
      </c>
      <c r="M27">
        <v>-123</v>
      </c>
      <c r="N27">
        <v>54</v>
      </c>
      <c r="O27">
        <v>-19</v>
      </c>
      <c r="P27">
        <v>17</v>
      </c>
      <c r="Q27">
        <v>-27</v>
      </c>
      <c r="R27">
        <v>4</v>
      </c>
      <c r="S27">
        <v>-51</v>
      </c>
      <c r="T27">
        <v>-51</v>
      </c>
      <c r="V27" s="567"/>
    </row>
    <row r="28" spans="1:22" x14ac:dyDescent="0.35">
      <c r="A28">
        <v>2042</v>
      </c>
      <c r="B28" t="s">
        <v>533</v>
      </c>
      <c r="C28">
        <v>550</v>
      </c>
      <c r="D28">
        <v>553</v>
      </c>
      <c r="E28">
        <v>548</v>
      </c>
      <c r="F28">
        <v>531</v>
      </c>
      <c r="G28">
        <v>544</v>
      </c>
      <c r="H28">
        <v>549</v>
      </c>
      <c r="I28">
        <v>550</v>
      </c>
      <c r="J28">
        <v>605</v>
      </c>
      <c r="K28">
        <v>625</v>
      </c>
      <c r="M28">
        <v>3</v>
      </c>
      <c r="N28">
        <v>-5</v>
      </c>
      <c r="O28">
        <v>-17</v>
      </c>
      <c r="P28">
        <v>13</v>
      </c>
      <c r="Q28">
        <v>5</v>
      </c>
      <c r="R28">
        <v>1</v>
      </c>
      <c r="S28">
        <v>55</v>
      </c>
      <c r="T28">
        <v>20</v>
      </c>
      <c r="V28" s="567" t="s">
        <v>649</v>
      </c>
    </row>
    <row r="29" spans="1:22" ht="29" x14ac:dyDescent="0.35">
      <c r="A29">
        <v>2051</v>
      </c>
      <c r="B29" t="s">
        <v>534</v>
      </c>
      <c r="C29">
        <v>514</v>
      </c>
      <c r="D29">
        <v>473</v>
      </c>
      <c r="E29">
        <v>479</v>
      </c>
      <c r="F29">
        <v>432</v>
      </c>
      <c r="G29">
        <v>466</v>
      </c>
      <c r="H29">
        <v>487</v>
      </c>
      <c r="I29">
        <v>495</v>
      </c>
      <c r="J29">
        <v>529</v>
      </c>
      <c r="K29">
        <v>548</v>
      </c>
      <c r="M29">
        <v>-41</v>
      </c>
      <c r="N29">
        <v>6</v>
      </c>
      <c r="O29">
        <v>-47</v>
      </c>
      <c r="P29">
        <v>34</v>
      </c>
      <c r="Q29">
        <v>21</v>
      </c>
      <c r="R29">
        <v>8</v>
      </c>
      <c r="S29">
        <v>34</v>
      </c>
      <c r="T29">
        <v>19</v>
      </c>
      <c r="V29" s="567" t="s">
        <v>672</v>
      </c>
    </row>
    <row r="30" spans="1:22" ht="29" x14ac:dyDescent="0.35">
      <c r="A30">
        <v>2061</v>
      </c>
      <c r="B30" t="s">
        <v>535</v>
      </c>
      <c r="C30">
        <v>729</v>
      </c>
      <c r="D30">
        <v>688</v>
      </c>
      <c r="E30">
        <v>713</v>
      </c>
      <c r="F30">
        <v>648</v>
      </c>
      <c r="G30">
        <v>636</v>
      </c>
      <c r="H30">
        <v>640</v>
      </c>
      <c r="I30">
        <v>605</v>
      </c>
      <c r="J30">
        <v>628</v>
      </c>
      <c r="K30">
        <v>662</v>
      </c>
      <c r="M30">
        <v>-41</v>
      </c>
      <c r="N30">
        <v>25</v>
      </c>
      <c r="O30">
        <v>-65</v>
      </c>
      <c r="P30">
        <v>-12</v>
      </c>
      <c r="Q30">
        <v>4</v>
      </c>
      <c r="R30">
        <v>-35</v>
      </c>
      <c r="S30">
        <v>23</v>
      </c>
      <c r="T30">
        <v>34</v>
      </c>
      <c r="V30" s="567" t="s">
        <v>673</v>
      </c>
    </row>
    <row r="31" spans="1:22" x14ac:dyDescent="0.35">
      <c r="A31">
        <v>2081</v>
      </c>
      <c r="B31" t="s">
        <v>536</v>
      </c>
      <c r="C31">
        <v>632</v>
      </c>
      <c r="D31">
        <v>615</v>
      </c>
      <c r="E31">
        <v>641</v>
      </c>
      <c r="F31">
        <v>573</v>
      </c>
      <c r="G31">
        <v>547</v>
      </c>
      <c r="H31">
        <v>586</v>
      </c>
      <c r="I31">
        <v>623</v>
      </c>
      <c r="J31">
        <v>583</v>
      </c>
      <c r="K31">
        <v>585</v>
      </c>
      <c r="M31">
        <v>-17</v>
      </c>
      <c r="N31">
        <v>26</v>
      </c>
      <c r="O31">
        <v>-68</v>
      </c>
      <c r="P31">
        <v>-26</v>
      </c>
      <c r="Q31">
        <v>39</v>
      </c>
      <c r="R31">
        <v>37</v>
      </c>
      <c r="S31">
        <v>-40</v>
      </c>
      <c r="T31">
        <v>2</v>
      </c>
      <c r="V31" s="567"/>
    </row>
    <row r="32" spans="1:22" x14ac:dyDescent="0.35">
      <c r="A32">
        <v>2111</v>
      </c>
      <c r="B32" t="s">
        <v>537</v>
      </c>
      <c r="C32">
        <v>743</v>
      </c>
      <c r="D32">
        <v>699</v>
      </c>
      <c r="E32">
        <v>692</v>
      </c>
      <c r="F32">
        <v>632</v>
      </c>
      <c r="G32">
        <v>632</v>
      </c>
      <c r="H32">
        <v>585</v>
      </c>
      <c r="I32">
        <v>601</v>
      </c>
      <c r="J32">
        <v>573</v>
      </c>
      <c r="K32">
        <v>567</v>
      </c>
      <c r="M32">
        <v>-44</v>
      </c>
      <c r="N32">
        <v>-7</v>
      </c>
      <c r="O32">
        <v>-60</v>
      </c>
      <c r="P32">
        <v>0</v>
      </c>
      <c r="Q32">
        <v>-47</v>
      </c>
      <c r="R32">
        <v>16</v>
      </c>
      <c r="S32">
        <v>-28</v>
      </c>
      <c r="T32">
        <v>-6</v>
      </c>
      <c r="V32" s="567" t="s">
        <v>648</v>
      </c>
    </row>
    <row r="33" spans="1:22" ht="29" x14ac:dyDescent="0.35">
      <c r="A33">
        <v>2121</v>
      </c>
      <c r="B33" t="s">
        <v>538</v>
      </c>
      <c r="C33">
        <v>611</v>
      </c>
      <c r="D33">
        <v>562</v>
      </c>
      <c r="E33">
        <v>595</v>
      </c>
      <c r="F33">
        <v>529</v>
      </c>
      <c r="G33">
        <v>579</v>
      </c>
      <c r="H33">
        <v>555</v>
      </c>
      <c r="I33">
        <v>578</v>
      </c>
      <c r="J33">
        <v>599</v>
      </c>
      <c r="K33">
        <v>669</v>
      </c>
      <c r="M33">
        <v>-49</v>
      </c>
      <c r="N33">
        <v>33</v>
      </c>
      <c r="O33">
        <v>-66</v>
      </c>
      <c r="P33">
        <v>50</v>
      </c>
      <c r="Q33">
        <v>-24</v>
      </c>
      <c r="R33">
        <v>23</v>
      </c>
      <c r="S33">
        <v>21</v>
      </c>
      <c r="T33">
        <v>70</v>
      </c>
      <c r="V33" s="569" t="s">
        <v>674</v>
      </c>
    </row>
    <row r="34" spans="1:22" ht="29" x14ac:dyDescent="0.35">
      <c r="A34">
        <v>2131</v>
      </c>
      <c r="B34" t="s">
        <v>539</v>
      </c>
      <c r="C34">
        <v>514</v>
      </c>
      <c r="D34">
        <v>478</v>
      </c>
      <c r="E34">
        <v>432</v>
      </c>
      <c r="F34">
        <v>405</v>
      </c>
      <c r="G34">
        <v>462</v>
      </c>
      <c r="H34">
        <v>506</v>
      </c>
      <c r="I34">
        <v>558</v>
      </c>
      <c r="J34">
        <v>573</v>
      </c>
      <c r="K34">
        <v>638</v>
      </c>
      <c r="M34">
        <v>-36</v>
      </c>
      <c r="N34">
        <v>-46</v>
      </c>
      <c r="O34">
        <v>-27</v>
      </c>
      <c r="P34">
        <v>57</v>
      </c>
      <c r="Q34">
        <v>44</v>
      </c>
      <c r="R34">
        <v>52</v>
      </c>
      <c r="S34">
        <v>15</v>
      </c>
      <c r="T34">
        <v>65</v>
      </c>
      <c r="V34" s="567" t="s">
        <v>675</v>
      </c>
    </row>
    <row r="35" spans="1:22" x14ac:dyDescent="0.35">
      <c r="A35">
        <v>2151</v>
      </c>
      <c r="B35" t="s">
        <v>540</v>
      </c>
      <c r="C35">
        <v>572</v>
      </c>
      <c r="D35">
        <v>644</v>
      </c>
      <c r="E35">
        <v>646</v>
      </c>
      <c r="F35">
        <v>560</v>
      </c>
      <c r="G35">
        <v>615</v>
      </c>
      <c r="H35">
        <v>643</v>
      </c>
      <c r="I35">
        <v>682</v>
      </c>
      <c r="J35">
        <v>680</v>
      </c>
      <c r="K35">
        <v>716</v>
      </c>
      <c r="M35">
        <v>72</v>
      </c>
      <c r="N35">
        <v>2</v>
      </c>
      <c r="O35">
        <v>-86</v>
      </c>
      <c r="P35">
        <v>55</v>
      </c>
      <c r="Q35">
        <v>28</v>
      </c>
      <c r="R35">
        <v>39</v>
      </c>
      <c r="S35">
        <v>-2</v>
      </c>
      <c r="T35">
        <v>36</v>
      </c>
      <c r="V35" s="567"/>
    </row>
    <row r="36" spans="1:22" ht="29" x14ac:dyDescent="0.35">
      <c r="A36">
        <v>2161</v>
      </c>
      <c r="B36" t="s">
        <v>541</v>
      </c>
      <c r="C36">
        <v>794</v>
      </c>
      <c r="D36">
        <v>777</v>
      </c>
      <c r="E36">
        <v>740</v>
      </c>
      <c r="F36">
        <v>669</v>
      </c>
      <c r="G36">
        <v>634</v>
      </c>
      <c r="H36">
        <v>621</v>
      </c>
      <c r="I36">
        <v>648</v>
      </c>
      <c r="J36">
        <v>687</v>
      </c>
      <c r="K36">
        <v>705</v>
      </c>
      <c r="M36">
        <v>-17</v>
      </c>
      <c r="N36">
        <v>-37</v>
      </c>
      <c r="O36">
        <v>-71</v>
      </c>
      <c r="P36">
        <v>-35</v>
      </c>
      <c r="Q36">
        <v>-13</v>
      </c>
      <c r="R36">
        <v>27</v>
      </c>
      <c r="S36">
        <v>39</v>
      </c>
      <c r="T36">
        <v>18</v>
      </c>
      <c r="V36" s="567" t="s">
        <v>676</v>
      </c>
    </row>
    <row r="37" spans="1:22" ht="29" x14ac:dyDescent="0.35">
      <c r="A37">
        <v>2171</v>
      </c>
      <c r="B37" t="s">
        <v>542</v>
      </c>
      <c r="C37">
        <v>681</v>
      </c>
      <c r="D37">
        <v>692</v>
      </c>
      <c r="E37">
        <v>699</v>
      </c>
      <c r="F37">
        <v>561</v>
      </c>
      <c r="G37">
        <v>624</v>
      </c>
      <c r="H37">
        <v>699</v>
      </c>
      <c r="I37">
        <v>647</v>
      </c>
      <c r="J37">
        <v>721</v>
      </c>
      <c r="K37">
        <v>765</v>
      </c>
      <c r="M37">
        <v>11</v>
      </c>
      <c r="N37">
        <v>7</v>
      </c>
      <c r="O37">
        <v>-138</v>
      </c>
      <c r="P37">
        <v>63</v>
      </c>
      <c r="Q37">
        <v>75</v>
      </c>
      <c r="R37">
        <v>-52</v>
      </c>
      <c r="S37">
        <v>74</v>
      </c>
      <c r="T37">
        <v>44</v>
      </c>
      <c r="V37" s="567" t="s">
        <v>677</v>
      </c>
    </row>
    <row r="38" spans="1:22" ht="29" x14ac:dyDescent="0.35">
      <c r="A38">
        <v>2191</v>
      </c>
      <c r="B38" t="s">
        <v>543</v>
      </c>
      <c r="C38">
        <v>755</v>
      </c>
      <c r="D38">
        <v>728</v>
      </c>
      <c r="E38">
        <v>722</v>
      </c>
      <c r="F38">
        <v>679</v>
      </c>
      <c r="G38">
        <v>724</v>
      </c>
      <c r="H38">
        <v>729</v>
      </c>
      <c r="I38">
        <v>851</v>
      </c>
      <c r="J38">
        <v>856</v>
      </c>
      <c r="K38">
        <v>946</v>
      </c>
      <c r="M38">
        <v>-27</v>
      </c>
      <c r="N38">
        <v>-6</v>
      </c>
      <c r="O38">
        <v>-43</v>
      </c>
      <c r="P38">
        <v>45</v>
      </c>
      <c r="Q38">
        <v>5</v>
      </c>
      <c r="R38">
        <v>122</v>
      </c>
      <c r="S38">
        <v>5</v>
      </c>
      <c r="T38">
        <v>90</v>
      </c>
      <c r="V38" s="569" t="s">
        <v>678</v>
      </c>
    </row>
    <row r="39" spans="1:22" ht="29" x14ac:dyDescent="0.35">
      <c r="A39">
        <v>2212</v>
      </c>
      <c r="B39" t="s">
        <v>544</v>
      </c>
      <c r="C39">
        <v>733</v>
      </c>
      <c r="D39">
        <v>769</v>
      </c>
      <c r="E39">
        <v>773</v>
      </c>
      <c r="F39">
        <v>671</v>
      </c>
      <c r="G39">
        <v>728</v>
      </c>
      <c r="H39">
        <v>799</v>
      </c>
      <c r="I39">
        <v>867</v>
      </c>
      <c r="J39">
        <v>984</v>
      </c>
      <c r="K39" s="249">
        <v>1041</v>
      </c>
      <c r="M39">
        <v>36</v>
      </c>
      <c r="N39">
        <v>4</v>
      </c>
      <c r="O39">
        <v>-102</v>
      </c>
      <c r="P39">
        <v>57</v>
      </c>
      <c r="Q39">
        <v>71</v>
      </c>
      <c r="R39">
        <v>68</v>
      </c>
      <c r="S39">
        <v>117</v>
      </c>
      <c r="T39">
        <v>57</v>
      </c>
      <c r="V39" s="567" t="s">
        <v>679</v>
      </c>
    </row>
    <row r="40" spans="1:22" x14ac:dyDescent="0.35">
      <c r="A40">
        <v>2221</v>
      </c>
      <c r="B40" t="s">
        <v>545</v>
      </c>
      <c r="C40">
        <v>839</v>
      </c>
      <c r="D40">
        <v>820</v>
      </c>
      <c r="E40">
        <v>798</v>
      </c>
      <c r="F40">
        <v>700</v>
      </c>
      <c r="G40">
        <v>691</v>
      </c>
      <c r="H40">
        <v>759</v>
      </c>
      <c r="I40">
        <v>867</v>
      </c>
      <c r="J40">
        <v>907</v>
      </c>
      <c r="K40">
        <v>984</v>
      </c>
      <c r="M40">
        <v>-19</v>
      </c>
      <c r="N40">
        <v>-22</v>
      </c>
      <c r="O40">
        <v>-98</v>
      </c>
      <c r="P40">
        <v>-9</v>
      </c>
      <c r="Q40">
        <v>68</v>
      </c>
      <c r="R40">
        <v>108</v>
      </c>
      <c r="S40">
        <v>40</v>
      </c>
      <c r="T40">
        <v>77</v>
      </c>
      <c r="V40" s="567" t="s">
        <v>650</v>
      </c>
    </row>
    <row r="41" spans="1:22" ht="29" x14ac:dyDescent="0.35">
      <c r="A41">
        <v>3041</v>
      </c>
      <c r="B41" t="s">
        <v>546</v>
      </c>
      <c r="C41">
        <v>460</v>
      </c>
      <c r="D41">
        <v>456</v>
      </c>
      <c r="E41">
        <v>461</v>
      </c>
      <c r="F41">
        <v>393</v>
      </c>
      <c r="G41">
        <v>428</v>
      </c>
      <c r="H41">
        <v>459</v>
      </c>
      <c r="I41">
        <v>468</v>
      </c>
      <c r="J41">
        <v>494</v>
      </c>
      <c r="K41">
        <v>511</v>
      </c>
      <c r="M41">
        <v>-4</v>
      </c>
      <c r="N41">
        <v>5</v>
      </c>
      <c r="O41">
        <v>-68</v>
      </c>
      <c r="P41">
        <v>35</v>
      </c>
      <c r="Q41">
        <v>31</v>
      </c>
      <c r="R41">
        <v>9</v>
      </c>
      <c r="S41">
        <v>26</v>
      </c>
      <c r="T41">
        <v>17</v>
      </c>
      <c r="V41" s="567" t="s">
        <v>680</v>
      </c>
    </row>
    <row r="42" spans="1:22" x14ac:dyDescent="0.35">
      <c r="A42">
        <v>3061</v>
      </c>
      <c r="B42" t="s">
        <v>547</v>
      </c>
      <c r="C42">
        <v>392</v>
      </c>
      <c r="D42">
        <v>371</v>
      </c>
      <c r="E42">
        <v>366</v>
      </c>
      <c r="F42">
        <v>345</v>
      </c>
      <c r="G42">
        <v>359</v>
      </c>
      <c r="H42">
        <v>403</v>
      </c>
      <c r="I42">
        <v>397</v>
      </c>
      <c r="J42">
        <v>390</v>
      </c>
      <c r="K42">
        <v>399</v>
      </c>
      <c r="M42">
        <v>-21</v>
      </c>
      <c r="N42">
        <v>-5</v>
      </c>
      <c r="O42">
        <v>-21</v>
      </c>
      <c r="P42">
        <v>14</v>
      </c>
      <c r="Q42">
        <v>44</v>
      </c>
      <c r="R42">
        <v>-6</v>
      </c>
      <c r="S42">
        <v>-7</v>
      </c>
      <c r="T42">
        <v>9</v>
      </c>
      <c r="V42" s="567"/>
    </row>
    <row r="43" spans="1:22" ht="29" x14ac:dyDescent="0.35">
      <c r="A43">
        <v>3071</v>
      </c>
      <c r="B43" t="s">
        <v>548</v>
      </c>
      <c r="C43">
        <v>544</v>
      </c>
      <c r="D43">
        <v>538</v>
      </c>
      <c r="E43">
        <v>563</v>
      </c>
      <c r="F43">
        <v>549</v>
      </c>
      <c r="G43">
        <v>516</v>
      </c>
      <c r="H43">
        <v>500</v>
      </c>
      <c r="I43">
        <v>514</v>
      </c>
      <c r="J43">
        <v>493</v>
      </c>
      <c r="K43">
        <v>495</v>
      </c>
      <c r="M43">
        <v>-6</v>
      </c>
      <c r="N43">
        <v>25</v>
      </c>
      <c r="O43">
        <v>-14</v>
      </c>
      <c r="P43">
        <v>-33</v>
      </c>
      <c r="Q43">
        <v>-16</v>
      </c>
      <c r="R43">
        <v>14</v>
      </c>
      <c r="S43">
        <v>-21</v>
      </c>
      <c r="T43">
        <v>2</v>
      </c>
      <c r="V43" s="567" t="s">
        <v>681</v>
      </c>
    </row>
    <row r="44" spans="1:22" x14ac:dyDescent="0.35">
      <c r="A44">
        <v>3091</v>
      </c>
      <c r="B44" t="s">
        <v>549</v>
      </c>
      <c r="C44">
        <v>579</v>
      </c>
      <c r="D44">
        <v>552</v>
      </c>
      <c r="E44">
        <v>523</v>
      </c>
      <c r="F44">
        <v>480</v>
      </c>
      <c r="G44">
        <v>487</v>
      </c>
      <c r="H44">
        <v>488</v>
      </c>
      <c r="I44">
        <v>484</v>
      </c>
      <c r="J44">
        <v>464</v>
      </c>
      <c r="K44">
        <v>451</v>
      </c>
      <c r="M44">
        <v>-27</v>
      </c>
      <c r="N44">
        <v>-29</v>
      </c>
      <c r="O44">
        <v>-43</v>
      </c>
      <c r="P44">
        <v>7</v>
      </c>
      <c r="Q44">
        <v>1</v>
      </c>
      <c r="R44">
        <v>-4</v>
      </c>
      <c r="S44">
        <v>-20</v>
      </c>
      <c r="T44">
        <v>-13</v>
      </c>
      <c r="V44" s="567"/>
    </row>
    <row r="45" spans="1:22" ht="29" x14ac:dyDescent="0.35">
      <c r="A45">
        <v>3101</v>
      </c>
      <c r="B45" t="s">
        <v>550</v>
      </c>
      <c r="C45">
        <v>670</v>
      </c>
      <c r="D45">
        <v>711</v>
      </c>
      <c r="E45">
        <v>733</v>
      </c>
      <c r="F45">
        <v>596</v>
      </c>
      <c r="G45">
        <v>630</v>
      </c>
      <c r="H45">
        <v>598</v>
      </c>
      <c r="I45">
        <v>583</v>
      </c>
      <c r="J45">
        <v>620</v>
      </c>
      <c r="K45">
        <v>635</v>
      </c>
      <c r="M45">
        <v>41</v>
      </c>
      <c r="N45">
        <v>22</v>
      </c>
      <c r="O45">
        <v>-137</v>
      </c>
      <c r="P45">
        <v>34</v>
      </c>
      <c r="Q45">
        <v>-32</v>
      </c>
      <c r="R45">
        <v>-15</v>
      </c>
      <c r="S45">
        <v>37</v>
      </c>
      <c r="T45">
        <v>15</v>
      </c>
      <c r="V45" s="567" t="s">
        <v>682</v>
      </c>
    </row>
    <row r="46" spans="1:22" x14ac:dyDescent="0.35">
      <c r="A46">
        <v>3121</v>
      </c>
      <c r="B46" t="s">
        <v>551</v>
      </c>
      <c r="C46">
        <v>686</v>
      </c>
      <c r="D46">
        <v>675</v>
      </c>
      <c r="E46">
        <v>675</v>
      </c>
      <c r="F46">
        <v>594</v>
      </c>
      <c r="G46">
        <v>595</v>
      </c>
      <c r="H46">
        <v>600</v>
      </c>
      <c r="I46">
        <v>601</v>
      </c>
      <c r="J46">
        <v>585</v>
      </c>
      <c r="K46">
        <v>574</v>
      </c>
      <c r="M46">
        <v>-11</v>
      </c>
      <c r="N46">
        <v>0</v>
      </c>
      <c r="O46">
        <v>-81</v>
      </c>
      <c r="P46">
        <v>1</v>
      </c>
      <c r="Q46">
        <v>5</v>
      </c>
      <c r="R46">
        <v>1</v>
      </c>
      <c r="S46">
        <v>-16</v>
      </c>
      <c r="T46">
        <v>-11</v>
      </c>
      <c r="V46" s="567"/>
    </row>
    <row r="47" spans="1:22" ht="29" x14ac:dyDescent="0.35">
      <c r="A47">
        <v>3131</v>
      </c>
      <c r="B47" t="s">
        <v>552</v>
      </c>
      <c r="C47">
        <v>613</v>
      </c>
      <c r="D47">
        <v>647</v>
      </c>
      <c r="E47">
        <v>646</v>
      </c>
      <c r="F47">
        <v>568</v>
      </c>
      <c r="G47">
        <v>594</v>
      </c>
      <c r="H47">
        <v>631</v>
      </c>
      <c r="I47">
        <v>607</v>
      </c>
      <c r="J47">
        <v>579</v>
      </c>
      <c r="K47">
        <v>562</v>
      </c>
      <c r="M47">
        <v>34</v>
      </c>
      <c r="N47">
        <v>-1</v>
      </c>
      <c r="O47">
        <v>-78</v>
      </c>
      <c r="P47">
        <v>26</v>
      </c>
      <c r="Q47">
        <v>37</v>
      </c>
      <c r="R47">
        <v>-24</v>
      </c>
      <c r="S47">
        <v>-28</v>
      </c>
      <c r="T47">
        <v>-17</v>
      </c>
      <c r="V47" s="567" t="s">
        <v>683</v>
      </c>
    </row>
    <row r="48" spans="1:22" ht="43.5" x14ac:dyDescent="0.35">
      <c r="A48">
        <v>3151</v>
      </c>
      <c r="B48" t="s">
        <v>553</v>
      </c>
      <c r="C48" s="249">
        <v>1000</v>
      </c>
      <c r="D48" s="249">
        <v>1089</v>
      </c>
      <c r="E48" s="249">
        <v>1196</v>
      </c>
      <c r="F48">
        <v>795</v>
      </c>
      <c r="G48">
        <v>673</v>
      </c>
      <c r="H48">
        <v>693</v>
      </c>
      <c r="I48">
        <v>712</v>
      </c>
      <c r="J48">
        <v>690</v>
      </c>
      <c r="K48">
        <v>675</v>
      </c>
      <c r="M48">
        <v>89</v>
      </c>
      <c r="N48">
        <v>107</v>
      </c>
      <c r="O48">
        <v>-401</v>
      </c>
      <c r="P48">
        <v>-122</v>
      </c>
      <c r="Q48">
        <v>20</v>
      </c>
      <c r="R48">
        <v>19</v>
      </c>
      <c r="S48">
        <v>-22</v>
      </c>
      <c r="T48">
        <v>-15</v>
      </c>
      <c r="V48" s="569" t="s">
        <v>684</v>
      </c>
    </row>
    <row r="49" spans="1:22" ht="43.5" x14ac:dyDescent="0.35">
      <c r="A49">
        <v>3161</v>
      </c>
      <c r="B49" t="s">
        <v>554</v>
      </c>
      <c r="F49">
        <v>384</v>
      </c>
      <c r="G49">
        <v>585</v>
      </c>
      <c r="H49">
        <v>695</v>
      </c>
      <c r="I49">
        <v>784</v>
      </c>
      <c r="J49">
        <v>885</v>
      </c>
      <c r="K49">
        <v>960</v>
      </c>
      <c r="M49">
        <v>0</v>
      </c>
      <c r="N49">
        <v>0</v>
      </c>
      <c r="O49">
        <v>384</v>
      </c>
      <c r="P49">
        <v>201</v>
      </c>
      <c r="Q49">
        <v>110</v>
      </c>
      <c r="R49">
        <v>89</v>
      </c>
      <c r="S49">
        <v>101</v>
      </c>
      <c r="T49">
        <v>75</v>
      </c>
      <c r="V49" s="569" t="s">
        <v>685</v>
      </c>
    </row>
    <row r="50" spans="1:22" ht="29" x14ac:dyDescent="0.35">
      <c r="A50">
        <v>4031</v>
      </c>
      <c r="B50" t="s">
        <v>555</v>
      </c>
      <c r="C50">
        <v>494</v>
      </c>
      <c r="D50">
        <v>465</v>
      </c>
      <c r="E50">
        <v>463</v>
      </c>
      <c r="F50">
        <v>428</v>
      </c>
      <c r="G50">
        <v>438</v>
      </c>
      <c r="H50">
        <v>435</v>
      </c>
      <c r="I50">
        <v>431</v>
      </c>
      <c r="J50">
        <v>382</v>
      </c>
      <c r="K50">
        <v>384</v>
      </c>
      <c r="M50">
        <v>-29</v>
      </c>
      <c r="N50">
        <v>-2</v>
      </c>
      <c r="O50">
        <v>-35</v>
      </c>
      <c r="P50">
        <v>10</v>
      </c>
      <c r="Q50">
        <v>-3</v>
      </c>
      <c r="R50">
        <v>-4</v>
      </c>
      <c r="S50">
        <v>-49</v>
      </c>
      <c r="T50">
        <v>2</v>
      </c>
      <c r="V50" s="567" t="s">
        <v>686</v>
      </c>
    </row>
    <row r="51" spans="1:22" x14ac:dyDescent="0.35">
      <c r="A51">
        <v>4041</v>
      </c>
      <c r="B51" t="s">
        <v>556</v>
      </c>
      <c r="C51">
        <v>797</v>
      </c>
      <c r="D51">
        <v>825</v>
      </c>
      <c r="E51">
        <v>804</v>
      </c>
      <c r="F51">
        <v>682</v>
      </c>
      <c r="G51">
        <v>641</v>
      </c>
      <c r="H51">
        <v>669</v>
      </c>
      <c r="I51">
        <v>619</v>
      </c>
      <c r="J51">
        <v>569</v>
      </c>
      <c r="K51">
        <v>550</v>
      </c>
      <c r="M51">
        <v>28</v>
      </c>
      <c r="N51">
        <v>-21</v>
      </c>
      <c r="O51">
        <v>-122</v>
      </c>
      <c r="P51">
        <v>-41</v>
      </c>
      <c r="Q51">
        <v>28</v>
      </c>
      <c r="R51">
        <v>-50</v>
      </c>
      <c r="S51">
        <v>-50</v>
      </c>
      <c r="T51">
        <v>-19</v>
      </c>
      <c r="V51" s="567" t="s">
        <v>651</v>
      </c>
    </row>
    <row r="52" spans="1:22" x14ac:dyDescent="0.35">
      <c r="A52">
        <v>4051</v>
      </c>
      <c r="B52" t="s">
        <v>557</v>
      </c>
      <c r="C52">
        <v>566</v>
      </c>
      <c r="D52">
        <v>536</v>
      </c>
      <c r="E52">
        <v>533</v>
      </c>
      <c r="F52">
        <v>469</v>
      </c>
      <c r="G52">
        <v>464</v>
      </c>
      <c r="H52">
        <v>450</v>
      </c>
      <c r="I52">
        <v>420</v>
      </c>
      <c r="J52">
        <v>415</v>
      </c>
      <c r="K52">
        <v>420</v>
      </c>
      <c r="M52">
        <v>-30</v>
      </c>
      <c r="N52">
        <v>-3</v>
      </c>
      <c r="O52">
        <v>-64</v>
      </c>
      <c r="P52">
        <v>-5</v>
      </c>
      <c r="Q52">
        <v>-14</v>
      </c>
      <c r="R52">
        <v>-30</v>
      </c>
      <c r="S52">
        <v>-5</v>
      </c>
      <c r="T52">
        <v>5</v>
      </c>
      <c r="V52" s="567" t="s">
        <v>652</v>
      </c>
    </row>
    <row r="53" spans="1:22" x14ac:dyDescent="0.35">
      <c r="A53">
        <v>4071</v>
      </c>
      <c r="B53" t="s">
        <v>558</v>
      </c>
      <c r="C53">
        <v>495</v>
      </c>
      <c r="D53">
        <v>506</v>
      </c>
      <c r="E53">
        <v>504</v>
      </c>
      <c r="F53">
        <v>487</v>
      </c>
      <c r="G53">
        <v>498</v>
      </c>
      <c r="H53">
        <v>506</v>
      </c>
      <c r="I53">
        <v>505</v>
      </c>
      <c r="J53">
        <v>481</v>
      </c>
      <c r="K53">
        <v>486</v>
      </c>
      <c r="M53">
        <v>11</v>
      </c>
      <c r="N53">
        <v>-2</v>
      </c>
      <c r="O53">
        <v>-17</v>
      </c>
      <c r="P53">
        <v>11</v>
      </c>
      <c r="Q53">
        <v>8</v>
      </c>
      <c r="R53">
        <v>-1</v>
      </c>
      <c r="S53">
        <v>-24</v>
      </c>
      <c r="T53">
        <v>5</v>
      </c>
      <c r="V53" s="567" t="s">
        <v>687</v>
      </c>
    </row>
    <row r="54" spans="1:22" x14ac:dyDescent="0.35">
      <c r="A54">
        <v>4121</v>
      </c>
      <c r="B54" t="s">
        <v>559</v>
      </c>
      <c r="C54">
        <v>652</v>
      </c>
      <c r="D54">
        <v>664</v>
      </c>
      <c r="E54">
        <v>670</v>
      </c>
      <c r="F54">
        <v>593</v>
      </c>
      <c r="G54">
        <v>614</v>
      </c>
      <c r="H54">
        <v>626</v>
      </c>
      <c r="I54">
        <v>628</v>
      </c>
      <c r="J54">
        <v>636</v>
      </c>
      <c r="K54">
        <v>624</v>
      </c>
      <c r="M54">
        <v>12</v>
      </c>
      <c r="N54">
        <v>6</v>
      </c>
      <c r="O54">
        <v>-77</v>
      </c>
      <c r="P54">
        <v>21</v>
      </c>
      <c r="Q54">
        <v>12</v>
      </c>
      <c r="R54">
        <v>2</v>
      </c>
      <c r="S54">
        <v>8</v>
      </c>
      <c r="T54">
        <v>-12</v>
      </c>
      <c r="V54" s="567" t="s">
        <v>653</v>
      </c>
    </row>
    <row r="55" spans="1:22" x14ac:dyDescent="0.35">
      <c r="A55">
        <v>5012</v>
      </c>
      <c r="B55" t="s">
        <v>560</v>
      </c>
      <c r="C55">
        <v>390</v>
      </c>
      <c r="D55">
        <v>380</v>
      </c>
      <c r="E55">
        <v>345</v>
      </c>
      <c r="F55">
        <v>263</v>
      </c>
      <c r="G55">
        <v>263</v>
      </c>
      <c r="H55">
        <v>288</v>
      </c>
      <c r="I55">
        <v>268</v>
      </c>
      <c r="J55">
        <v>275</v>
      </c>
      <c r="K55">
        <v>295</v>
      </c>
      <c r="M55">
        <v>-10</v>
      </c>
      <c r="N55">
        <v>-35</v>
      </c>
      <c r="O55">
        <v>-82</v>
      </c>
      <c r="P55">
        <v>0</v>
      </c>
      <c r="Q55">
        <v>25</v>
      </c>
      <c r="R55">
        <v>-20</v>
      </c>
      <c r="S55">
        <v>7</v>
      </c>
      <c r="T55">
        <v>20</v>
      </c>
      <c r="V55" s="567"/>
    </row>
    <row r="56" spans="1:22" ht="29" x14ac:dyDescent="0.35">
      <c r="A56">
        <v>5021</v>
      </c>
      <c r="B56" t="s">
        <v>561</v>
      </c>
      <c r="C56">
        <v>408</v>
      </c>
      <c r="D56">
        <v>387</v>
      </c>
      <c r="E56">
        <v>404</v>
      </c>
      <c r="F56">
        <v>395</v>
      </c>
      <c r="G56">
        <v>406</v>
      </c>
      <c r="H56">
        <v>403</v>
      </c>
      <c r="I56">
        <v>407</v>
      </c>
      <c r="J56">
        <v>408</v>
      </c>
      <c r="K56">
        <v>414</v>
      </c>
      <c r="M56">
        <v>-21</v>
      </c>
      <c r="N56">
        <v>17</v>
      </c>
      <c r="O56">
        <v>-9</v>
      </c>
      <c r="P56">
        <v>11</v>
      </c>
      <c r="Q56">
        <v>-3</v>
      </c>
      <c r="R56">
        <v>4</v>
      </c>
      <c r="S56">
        <v>1</v>
      </c>
      <c r="T56">
        <v>6</v>
      </c>
      <c r="V56" s="567" t="s">
        <v>688</v>
      </c>
    </row>
    <row r="57" spans="1:22" x14ac:dyDescent="0.35">
      <c r="A57">
        <v>5031</v>
      </c>
      <c r="B57" t="s">
        <v>562</v>
      </c>
      <c r="C57">
        <v>381</v>
      </c>
      <c r="D57">
        <v>381</v>
      </c>
      <c r="E57">
        <v>360</v>
      </c>
      <c r="F57">
        <v>302</v>
      </c>
      <c r="G57">
        <v>278</v>
      </c>
      <c r="H57">
        <v>305</v>
      </c>
      <c r="I57">
        <v>295</v>
      </c>
      <c r="J57">
        <v>273</v>
      </c>
      <c r="K57">
        <v>263</v>
      </c>
      <c r="M57">
        <v>0</v>
      </c>
      <c r="N57">
        <v>-21</v>
      </c>
      <c r="O57">
        <v>-58</v>
      </c>
      <c r="P57">
        <v>-24</v>
      </c>
      <c r="Q57">
        <v>27</v>
      </c>
      <c r="R57">
        <v>-10</v>
      </c>
      <c r="S57">
        <v>-22</v>
      </c>
      <c r="T57">
        <v>-10</v>
      </c>
      <c r="V57" s="567"/>
    </row>
    <row r="58" spans="1:22" x14ac:dyDescent="0.35">
      <c r="A58">
        <v>6013</v>
      </c>
      <c r="B58" t="s">
        <v>563</v>
      </c>
      <c r="C58">
        <v>485</v>
      </c>
      <c r="D58">
        <v>497</v>
      </c>
      <c r="E58">
        <v>502</v>
      </c>
      <c r="F58">
        <v>410</v>
      </c>
      <c r="G58">
        <v>444</v>
      </c>
      <c r="H58">
        <v>432</v>
      </c>
      <c r="I58">
        <v>435</v>
      </c>
      <c r="J58">
        <v>444</v>
      </c>
      <c r="K58">
        <v>416</v>
      </c>
      <c r="M58">
        <v>12</v>
      </c>
      <c r="N58">
        <v>5</v>
      </c>
      <c r="O58">
        <v>-92</v>
      </c>
      <c r="P58">
        <v>34</v>
      </c>
      <c r="Q58">
        <v>-12</v>
      </c>
      <c r="R58">
        <v>3</v>
      </c>
      <c r="S58">
        <v>9</v>
      </c>
      <c r="T58">
        <v>-28</v>
      </c>
      <c r="V58" s="567"/>
    </row>
    <row r="59" spans="1:22" ht="29" x14ac:dyDescent="0.35">
      <c r="A59">
        <v>6051</v>
      </c>
      <c r="B59" t="s">
        <v>564</v>
      </c>
      <c r="C59">
        <v>317</v>
      </c>
      <c r="D59">
        <v>321</v>
      </c>
      <c r="E59">
        <v>338</v>
      </c>
      <c r="F59">
        <v>272</v>
      </c>
      <c r="G59">
        <v>299</v>
      </c>
      <c r="H59">
        <v>337</v>
      </c>
      <c r="I59">
        <v>327</v>
      </c>
      <c r="J59">
        <v>308</v>
      </c>
      <c r="K59">
        <v>308</v>
      </c>
      <c r="M59">
        <v>4</v>
      </c>
      <c r="N59">
        <v>17</v>
      </c>
      <c r="O59">
        <v>-66</v>
      </c>
      <c r="P59">
        <v>27</v>
      </c>
      <c r="Q59">
        <v>38</v>
      </c>
      <c r="R59">
        <v>-10</v>
      </c>
      <c r="S59">
        <v>-19</v>
      </c>
      <c r="T59">
        <v>0</v>
      </c>
      <c r="V59" s="567" t="s">
        <v>689</v>
      </c>
    </row>
    <row r="60" spans="1:22" ht="29" x14ac:dyDescent="0.35">
      <c r="A60">
        <v>6061</v>
      </c>
      <c r="B60" t="s">
        <v>565</v>
      </c>
      <c r="C60">
        <v>455</v>
      </c>
      <c r="D60">
        <v>460</v>
      </c>
      <c r="E60">
        <v>461</v>
      </c>
      <c r="F60">
        <v>438</v>
      </c>
      <c r="G60">
        <v>408</v>
      </c>
      <c r="H60">
        <v>442</v>
      </c>
      <c r="I60">
        <v>419</v>
      </c>
      <c r="J60">
        <v>404</v>
      </c>
      <c r="K60">
        <v>412</v>
      </c>
      <c r="M60">
        <v>5</v>
      </c>
      <c r="N60">
        <v>1</v>
      </c>
      <c r="O60">
        <v>-23</v>
      </c>
      <c r="P60">
        <v>-30</v>
      </c>
      <c r="Q60">
        <v>34</v>
      </c>
      <c r="R60">
        <v>-23</v>
      </c>
      <c r="S60">
        <v>-15</v>
      </c>
      <c r="T60">
        <v>8</v>
      </c>
      <c r="V60" s="567" t="s">
        <v>690</v>
      </c>
    </row>
    <row r="61" spans="1:22" x14ac:dyDescent="0.35">
      <c r="A61">
        <v>6071</v>
      </c>
      <c r="B61" t="s">
        <v>566</v>
      </c>
      <c r="C61">
        <v>527</v>
      </c>
      <c r="D61">
        <v>532</v>
      </c>
      <c r="E61">
        <v>559</v>
      </c>
      <c r="F61">
        <v>508</v>
      </c>
      <c r="G61">
        <v>538</v>
      </c>
      <c r="H61">
        <v>554</v>
      </c>
      <c r="I61">
        <v>529</v>
      </c>
      <c r="J61">
        <v>499</v>
      </c>
      <c r="K61">
        <v>488</v>
      </c>
      <c r="M61">
        <v>5</v>
      </c>
      <c r="N61">
        <v>27</v>
      </c>
      <c r="O61">
        <v>-51</v>
      </c>
      <c r="P61">
        <v>30</v>
      </c>
      <c r="Q61">
        <v>16</v>
      </c>
      <c r="R61">
        <v>-25</v>
      </c>
      <c r="S61">
        <v>-30</v>
      </c>
      <c r="T61">
        <v>-11</v>
      </c>
      <c r="V61" s="567"/>
    </row>
    <row r="62" spans="1:22" x14ac:dyDescent="0.35">
      <c r="A62">
        <v>6081</v>
      </c>
      <c r="B62" t="s">
        <v>567</v>
      </c>
      <c r="C62">
        <v>746</v>
      </c>
      <c r="D62">
        <v>740</v>
      </c>
      <c r="E62">
        <v>732</v>
      </c>
      <c r="F62">
        <v>662</v>
      </c>
      <c r="G62">
        <v>671</v>
      </c>
      <c r="H62">
        <v>686</v>
      </c>
      <c r="I62">
        <v>680</v>
      </c>
      <c r="J62">
        <v>664</v>
      </c>
      <c r="K62">
        <v>646</v>
      </c>
      <c r="M62">
        <v>-6</v>
      </c>
      <c r="N62">
        <v>-8</v>
      </c>
      <c r="O62">
        <v>-70</v>
      </c>
      <c r="P62">
        <v>9</v>
      </c>
      <c r="Q62">
        <v>15</v>
      </c>
      <c r="R62">
        <v>-6</v>
      </c>
      <c r="S62">
        <v>-16</v>
      </c>
      <c r="T62">
        <v>-18</v>
      </c>
      <c r="V62" s="567"/>
    </row>
    <row r="63" spans="1:22" x14ac:dyDescent="0.35">
      <c r="A63">
        <v>6101</v>
      </c>
      <c r="B63" t="s">
        <v>568</v>
      </c>
      <c r="C63">
        <v>430</v>
      </c>
      <c r="D63">
        <v>468</v>
      </c>
      <c r="E63">
        <v>475</v>
      </c>
      <c r="F63">
        <v>426</v>
      </c>
      <c r="G63">
        <v>427</v>
      </c>
      <c r="H63">
        <v>468</v>
      </c>
      <c r="I63">
        <v>445</v>
      </c>
      <c r="J63">
        <v>410</v>
      </c>
      <c r="K63">
        <v>401</v>
      </c>
      <c r="M63">
        <v>38</v>
      </c>
      <c r="N63">
        <v>7</v>
      </c>
      <c r="O63">
        <v>-49</v>
      </c>
      <c r="P63">
        <v>1</v>
      </c>
      <c r="Q63">
        <v>41</v>
      </c>
      <c r="R63">
        <v>-23</v>
      </c>
      <c r="S63">
        <v>-35</v>
      </c>
      <c r="T63">
        <v>-9</v>
      </c>
      <c r="V63" s="567"/>
    </row>
    <row r="64" spans="1:22" ht="29" x14ac:dyDescent="0.35">
      <c r="A64">
        <v>6141</v>
      </c>
      <c r="B64" t="s">
        <v>569</v>
      </c>
      <c r="C64">
        <v>888</v>
      </c>
      <c r="D64">
        <v>845</v>
      </c>
      <c r="E64">
        <v>825</v>
      </c>
      <c r="F64">
        <v>703</v>
      </c>
      <c r="G64">
        <v>717</v>
      </c>
      <c r="H64">
        <v>626</v>
      </c>
      <c r="I64">
        <v>589</v>
      </c>
      <c r="J64">
        <v>540</v>
      </c>
      <c r="K64">
        <v>536</v>
      </c>
      <c r="M64">
        <v>-43</v>
      </c>
      <c r="N64">
        <v>-20</v>
      </c>
      <c r="O64">
        <v>-122</v>
      </c>
      <c r="P64">
        <v>14</v>
      </c>
      <c r="Q64">
        <v>-91</v>
      </c>
      <c r="R64">
        <v>-37</v>
      </c>
      <c r="S64">
        <v>-49</v>
      </c>
      <c r="T64">
        <v>-4</v>
      </c>
      <c r="V64" s="567" t="s">
        <v>691</v>
      </c>
    </row>
    <row r="65" spans="1:22" x14ac:dyDescent="0.35">
      <c r="B65" s="254" t="s">
        <v>570</v>
      </c>
      <c r="C65" s="561">
        <v>7627</v>
      </c>
      <c r="D65" s="561">
        <v>7669</v>
      </c>
      <c r="E65" s="561">
        <v>7830</v>
      </c>
      <c r="F65" s="561">
        <v>7570</v>
      </c>
      <c r="G65" s="561">
        <v>7595</v>
      </c>
      <c r="H65" s="561">
        <v>7314</v>
      </c>
      <c r="I65" s="561">
        <v>6918</v>
      </c>
      <c r="J65" s="561">
        <v>7096</v>
      </c>
      <c r="K65" s="562">
        <v>7084</v>
      </c>
      <c r="L65" s="254"/>
      <c r="M65" s="254">
        <v>42</v>
      </c>
      <c r="N65" s="254">
        <v>161</v>
      </c>
      <c r="O65" s="254">
        <v>-260</v>
      </c>
      <c r="P65" s="254">
        <v>25</v>
      </c>
      <c r="Q65" s="254">
        <v>-281</v>
      </c>
      <c r="R65" s="254">
        <v>-396</v>
      </c>
      <c r="S65" s="254">
        <v>178</v>
      </c>
      <c r="T65" s="254">
        <v>-12</v>
      </c>
      <c r="U65" s="254"/>
      <c r="V65" s="566"/>
    </row>
    <row r="66" spans="1:22" x14ac:dyDescent="0.35">
      <c r="A66">
        <v>52</v>
      </c>
      <c r="B66" t="s">
        <v>571</v>
      </c>
      <c r="C66">
        <v>460</v>
      </c>
      <c r="D66">
        <v>492</v>
      </c>
      <c r="E66">
        <v>528</v>
      </c>
      <c r="F66">
        <v>470</v>
      </c>
      <c r="G66">
        <v>480</v>
      </c>
      <c r="H66">
        <v>446</v>
      </c>
      <c r="I66">
        <v>429</v>
      </c>
      <c r="J66">
        <v>446</v>
      </c>
      <c r="K66">
        <v>431</v>
      </c>
      <c r="M66">
        <v>32</v>
      </c>
      <c r="N66">
        <v>36</v>
      </c>
      <c r="O66">
        <v>-58</v>
      </c>
      <c r="P66">
        <v>10</v>
      </c>
      <c r="Q66">
        <v>-34</v>
      </c>
      <c r="R66">
        <v>-17</v>
      </c>
      <c r="S66">
        <v>17</v>
      </c>
      <c r="T66">
        <v>-15</v>
      </c>
      <c r="V66" s="567"/>
    </row>
    <row r="67" spans="1:22" ht="29" x14ac:dyDescent="0.35">
      <c r="A67">
        <v>141</v>
      </c>
      <c r="B67" t="s">
        <v>572</v>
      </c>
      <c r="C67">
        <v>548</v>
      </c>
      <c r="D67">
        <v>548</v>
      </c>
      <c r="E67">
        <v>537</v>
      </c>
      <c r="F67">
        <v>566</v>
      </c>
      <c r="G67">
        <v>574</v>
      </c>
      <c r="H67">
        <v>550</v>
      </c>
      <c r="I67">
        <v>561</v>
      </c>
      <c r="J67">
        <v>505</v>
      </c>
      <c r="K67">
        <v>465</v>
      </c>
      <c r="M67">
        <v>0</v>
      </c>
      <c r="N67">
        <v>-11</v>
      </c>
      <c r="O67">
        <v>29</v>
      </c>
      <c r="P67">
        <v>8</v>
      </c>
      <c r="Q67">
        <v>-24</v>
      </c>
      <c r="R67">
        <v>11</v>
      </c>
      <c r="S67">
        <v>-56</v>
      </c>
      <c r="T67">
        <v>-40</v>
      </c>
      <c r="V67" s="567" t="s">
        <v>692</v>
      </c>
    </row>
    <row r="68" spans="1:22" x14ac:dyDescent="0.35">
      <c r="A68">
        <v>1081</v>
      </c>
      <c r="B68" t="s">
        <v>573</v>
      </c>
      <c r="C68">
        <v>386</v>
      </c>
      <c r="D68">
        <v>480</v>
      </c>
      <c r="E68">
        <v>489</v>
      </c>
      <c r="F68">
        <v>407</v>
      </c>
      <c r="G68">
        <v>336</v>
      </c>
      <c r="H68">
        <v>365</v>
      </c>
      <c r="I68">
        <v>355</v>
      </c>
      <c r="J68">
        <v>262</v>
      </c>
      <c r="K68">
        <v>259</v>
      </c>
      <c r="M68">
        <v>94</v>
      </c>
      <c r="N68">
        <v>9</v>
      </c>
      <c r="O68">
        <v>-82</v>
      </c>
      <c r="P68">
        <v>-71</v>
      </c>
      <c r="Q68">
        <v>29</v>
      </c>
      <c r="R68">
        <v>-10</v>
      </c>
      <c r="S68">
        <v>-93</v>
      </c>
      <c r="T68">
        <v>-3</v>
      </c>
      <c r="V68" s="567" t="s">
        <v>654</v>
      </c>
    </row>
    <row r="69" spans="1:22" ht="29" x14ac:dyDescent="0.35">
      <c r="A69">
        <v>1101</v>
      </c>
      <c r="B69" t="s">
        <v>574</v>
      </c>
      <c r="C69">
        <v>682</v>
      </c>
      <c r="D69">
        <v>611</v>
      </c>
      <c r="E69">
        <v>657</v>
      </c>
      <c r="F69">
        <v>666</v>
      </c>
      <c r="G69">
        <v>682</v>
      </c>
      <c r="H69">
        <v>671</v>
      </c>
      <c r="I69">
        <v>667</v>
      </c>
      <c r="J69">
        <v>449</v>
      </c>
      <c r="K69">
        <v>355</v>
      </c>
      <c r="M69">
        <v>-71</v>
      </c>
      <c r="N69">
        <v>46</v>
      </c>
      <c r="O69">
        <v>9</v>
      </c>
      <c r="P69">
        <v>16</v>
      </c>
      <c r="Q69">
        <v>-11</v>
      </c>
      <c r="R69">
        <v>-4</v>
      </c>
      <c r="S69">
        <v>-218</v>
      </c>
      <c r="T69">
        <v>-94</v>
      </c>
      <c r="V69" s="567" t="s">
        <v>693</v>
      </c>
    </row>
    <row r="70" spans="1:22" ht="29" x14ac:dyDescent="0.35">
      <c r="A70">
        <v>2071</v>
      </c>
      <c r="B70" t="s">
        <v>575</v>
      </c>
      <c r="C70">
        <v>822</v>
      </c>
      <c r="D70">
        <v>791</v>
      </c>
      <c r="E70">
        <v>769</v>
      </c>
      <c r="F70">
        <v>775</v>
      </c>
      <c r="G70">
        <v>747</v>
      </c>
      <c r="H70">
        <v>668</v>
      </c>
      <c r="I70">
        <v>584</v>
      </c>
      <c r="J70">
        <v>556</v>
      </c>
      <c r="K70">
        <v>523</v>
      </c>
      <c r="M70">
        <v>-31</v>
      </c>
      <c r="N70">
        <v>-22</v>
      </c>
      <c r="O70">
        <v>6</v>
      </c>
      <c r="P70">
        <v>-28</v>
      </c>
      <c r="Q70">
        <v>-79</v>
      </c>
      <c r="R70">
        <v>-84</v>
      </c>
      <c r="S70">
        <v>-28</v>
      </c>
      <c r="T70">
        <v>-33</v>
      </c>
      <c r="V70" s="567" t="s">
        <v>694</v>
      </c>
    </row>
    <row r="71" spans="1:22" ht="29" x14ac:dyDescent="0.35">
      <c r="A71">
        <v>2122</v>
      </c>
      <c r="B71" t="s">
        <v>576</v>
      </c>
      <c r="C71">
        <v>842</v>
      </c>
      <c r="D71">
        <v>833</v>
      </c>
      <c r="E71">
        <v>898</v>
      </c>
      <c r="F71">
        <v>904</v>
      </c>
      <c r="G71">
        <v>940</v>
      </c>
      <c r="H71">
        <v>920</v>
      </c>
      <c r="I71">
        <v>900</v>
      </c>
      <c r="J71" s="249">
        <v>1001</v>
      </c>
      <c r="K71" s="249">
        <v>1046</v>
      </c>
      <c r="M71">
        <v>-9</v>
      </c>
      <c r="N71">
        <v>65</v>
      </c>
      <c r="O71">
        <v>6</v>
      </c>
      <c r="P71">
        <v>36</v>
      </c>
      <c r="Q71">
        <v>-20</v>
      </c>
      <c r="R71">
        <v>-20</v>
      </c>
      <c r="S71">
        <v>101</v>
      </c>
      <c r="T71">
        <v>45</v>
      </c>
      <c r="V71" s="567" t="s">
        <v>695</v>
      </c>
    </row>
    <row r="72" spans="1:22" x14ac:dyDescent="0.35">
      <c r="A72">
        <v>3021</v>
      </c>
      <c r="B72" t="s">
        <v>577</v>
      </c>
      <c r="C72" s="249">
        <v>1121</v>
      </c>
      <c r="D72" s="249">
        <v>1193</v>
      </c>
      <c r="E72" s="249">
        <v>1181</v>
      </c>
      <c r="F72" s="249">
        <v>1135</v>
      </c>
      <c r="G72" s="249">
        <v>1171</v>
      </c>
      <c r="H72" s="249">
        <v>1129</v>
      </c>
      <c r="I72" s="249">
        <v>1061</v>
      </c>
      <c r="J72" s="249">
        <v>1058</v>
      </c>
      <c r="K72" s="249">
        <v>1063</v>
      </c>
      <c r="M72">
        <v>72</v>
      </c>
      <c r="N72">
        <v>-12</v>
      </c>
      <c r="O72">
        <v>-46</v>
      </c>
      <c r="P72">
        <v>36</v>
      </c>
      <c r="Q72">
        <v>-42</v>
      </c>
      <c r="R72">
        <v>-68</v>
      </c>
      <c r="S72">
        <v>-3</v>
      </c>
      <c r="T72">
        <v>5</v>
      </c>
      <c r="V72" s="567" t="s">
        <v>655</v>
      </c>
    </row>
    <row r="73" spans="1:22" ht="29" x14ac:dyDescent="0.35">
      <c r="A73">
        <v>3031</v>
      </c>
      <c r="B73" t="s">
        <v>578</v>
      </c>
      <c r="C73">
        <v>803</v>
      </c>
      <c r="D73">
        <v>736</v>
      </c>
      <c r="E73">
        <v>744</v>
      </c>
      <c r="F73">
        <v>731</v>
      </c>
      <c r="G73">
        <v>690</v>
      </c>
      <c r="H73">
        <v>610</v>
      </c>
      <c r="I73">
        <v>555</v>
      </c>
      <c r="J73">
        <v>577</v>
      </c>
      <c r="K73">
        <v>602</v>
      </c>
      <c r="M73">
        <v>-67</v>
      </c>
      <c r="N73">
        <v>8</v>
      </c>
      <c r="O73">
        <v>-13</v>
      </c>
      <c r="P73">
        <v>-41</v>
      </c>
      <c r="Q73">
        <v>-80</v>
      </c>
      <c r="R73">
        <v>-55</v>
      </c>
      <c r="S73">
        <v>22</v>
      </c>
      <c r="T73">
        <v>25</v>
      </c>
      <c r="V73" s="567" t="s">
        <v>696</v>
      </c>
    </row>
    <row r="74" spans="1:22" ht="29" x14ac:dyDescent="0.35">
      <c r="A74">
        <v>3171</v>
      </c>
      <c r="B74" t="s">
        <v>656</v>
      </c>
      <c r="J74">
        <v>742</v>
      </c>
      <c r="K74">
        <v>954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742</v>
      </c>
      <c r="T74">
        <v>212</v>
      </c>
      <c r="V74" s="567" t="s">
        <v>697</v>
      </c>
    </row>
    <row r="75" spans="1:22" ht="29" x14ac:dyDescent="0.35">
      <c r="A75">
        <v>4111</v>
      </c>
      <c r="B75" t="s">
        <v>579</v>
      </c>
      <c r="C75">
        <v>629</v>
      </c>
      <c r="D75">
        <v>660</v>
      </c>
      <c r="E75">
        <v>689</v>
      </c>
      <c r="F75">
        <v>647</v>
      </c>
      <c r="G75">
        <v>622</v>
      </c>
      <c r="H75">
        <v>608</v>
      </c>
      <c r="I75">
        <v>541</v>
      </c>
      <c r="J75">
        <v>479</v>
      </c>
      <c r="K75">
        <v>481</v>
      </c>
      <c r="M75">
        <v>31</v>
      </c>
      <c r="N75">
        <v>29</v>
      </c>
      <c r="O75">
        <v>-42</v>
      </c>
      <c r="P75">
        <v>-25</v>
      </c>
      <c r="Q75">
        <v>-14</v>
      </c>
      <c r="R75">
        <v>-67</v>
      </c>
      <c r="S75">
        <v>-62</v>
      </c>
      <c r="T75">
        <v>2</v>
      </c>
      <c r="V75" s="567" t="s">
        <v>698</v>
      </c>
    </row>
    <row r="76" spans="1:22" ht="29" x14ac:dyDescent="0.35">
      <c r="A76">
        <v>6012</v>
      </c>
      <c r="B76" t="s">
        <v>580</v>
      </c>
      <c r="C76">
        <v>801</v>
      </c>
      <c r="D76">
        <v>819</v>
      </c>
      <c r="E76">
        <v>844</v>
      </c>
      <c r="F76">
        <v>800</v>
      </c>
      <c r="G76">
        <v>843</v>
      </c>
      <c r="H76">
        <v>842</v>
      </c>
      <c r="I76">
        <v>823</v>
      </c>
      <c r="J76">
        <v>548</v>
      </c>
      <c r="K76">
        <v>440</v>
      </c>
      <c r="M76">
        <v>18</v>
      </c>
      <c r="N76">
        <v>25</v>
      </c>
      <c r="O76">
        <v>-44</v>
      </c>
      <c r="P76">
        <v>43</v>
      </c>
      <c r="Q76">
        <v>-1</v>
      </c>
      <c r="R76">
        <v>-19</v>
      </c>
      <c r="S76">
        <v>-275</v>
      </c>
      <c r="T76">
        <v>-108</v>
      </c>
      <c r="V76" s="567" t="s">
        <v>699</v>
      </c>
    </row>
    <row r="77" spans="1:22" x14ac:dyDescent="0.35">
      <c r="A77">
        <v>6082</v>
      </c>
      <c r="B77" t="s">
        <v>581</v>
      </c>
      <c r="C77">
        <v>533</v>
      </c>
      <c r="D77">
        <v>506</v>
      </c>
      <c r="E77">
        <v>494</v>
      </c>
      <c r="F77">
        <v>469</v>
      </c>
      <c r="G77">
        <v>510</v>
      </c>
      <c r="H77">
        <v>505</v>
      </c>
      <c r="I77">
        <v>442</v>
      </c>
      <c r="J77">
        <v>473</v>
      </c>
      <c r="K77">
        <v>465</v>
      </c>
      <c r="M77">
        <v>-27</v>
      </c>
      <c r="N77">
        <v>-12</v>
      </c>
      <c r="O77">
        <v>-25</v>
      </c>
      <c r="P77">
        <v>41</v>
      </c>
      <c r="Q77">
        <v>-5</v>
      </c>
      <c r="R77">
        <v>-63</v>
      </c>
      <c r="S77">
        <v>31</v>
      </c>
      <c r="T77">
        <v>-8</v>
      </c>
      <c r="V77" s="567"/>
    </row>
    <row r="78" spans="1:22" x14ac:dyDescent="0.35">
      <c r="B78" s="254" t="s">
        <v>582</v>
      </c>
      <c r="C78" s="561">
        <v>6098</v>
      </c>
      <c r="D78" s="561">
        <v>6077</v>
      </c>
      <c r="E78" s="561">
        <v>6090</v>
      </c>
      <c r="F78" s="561">
        <v>5941</v>
      </c>
      <c r="G78" s="561">
        <v>5882</v>
      </c>
      <c r="H78" s="561">
        <v>5930</v>
      </c>
      <c r="I78" s="561">
        <v>5856</v>
      </c>
      <c r="J78" s="561">
        <v>5876</v>
      </c>
      <c r="K78" s="562">
        <v>5743</v>
      </c>
      <c r="L78" s="254"/>
      <c r="M78" s="254">
        <v>-21</v>
      </c>
      <c r="N78" s="254">
        <v>13</v>
      </c>
      <c r="O78" s="254">
        <v>-149</v>
      </c>
      <c r="P78" s="254">
        <v>-59</v>
      </c>
      <c r="Q78" s="254">
        <v>48</v>
      </c>
      <c r="R78" s="254">
        <v>-74</v>
      </c>
      <c r="S78" s="254">
        <v>20</v>
      </c>
      <c r="T78" s="254">
        <v>-133</v>
      </c>
      <c r="U78" s="254"/>
      <c r="V78" s="566"/>
    </row>
    <row r="79" spans="1:22" ht="43.5" x14ac:dyDescent="0.35">
      <c r="A79">
        <v>302</v>
      </c>
      <c r="B79" t="s">
        <v>583</v>
      </c>
      <c r="C79" s="249">
        <v>1597</v>
      </c>
      <c r="D79" s="249">
        <v>1586</v>
      </c>
      <c r="E79" s="249">
        <v>1584</v>
      </c>
      <c r="F79" s="249">
        <v>1501</v>
      </c>
      <c r="G79" s="249">
        <v>1556</v>
      </c>
      <c r="H79" s="249">
        <v>1534</v>
      </c>
      <c r="I79" s="249">
        <v>1488</v>
      </c>
      <c r="J79" s="249">
        <v>1505</v>
      </c>
      <c r="K79" s="249">
        <v>1500</v>
      </c>
      <c r="M79">
        <v>-11</v>
      </c>
      <c r="N79">
        <v>-2</v>
      </c>
      <c r="O79">
        <v>-83</v>
      </c>
      <c r="P79">
        <v>55</v>
      </c>
      <c r="Q79">
        <v>-22</v>
      </c>
      <c r="R79">
        <v>-46</v>
      </c>
      <c r="S79">
        <v>17</v>
      </c>
      <c r="T79">
        <v>-5</v>
      </c>
      <c r="V79" s="567" t="s">
        <v>700</v>
      </c>
    </row>
    <row r="80" spans="1:22" x14ac:dyDescent="0.35">
      <c r="A80">
        <v>1121</v>
      </c>
      <c r="B80" t="s">
        <v>584</v>
      </c>
      <c r="C80" s="249">
        <v>1599</v>
      </c>
      <c r="D80" s="249">
        <v>1577</v>
      </c>
      <c r="E80" s="249">
        <v>1610</v>
      </c>
      <c r="F80" s="249">
        <v>1572</v>
      </c>
      <c r="G80" s="249">
        <v>1516</v>
      </c>
      <c r="H80" s="249">
        <v>1545</v>
      </c>
      <c r="I80" s="249">
        <v>1474</v>
      </c>
      <c r="J80" s="249">
        <v>1435</v>
      </c>
      <c r="K80" s="249">
        <v>1371</v>
      </c>
      <c r="M80">
        <v>-22</v>
      </c>
      <c r="N80">
        <v>33</v>
      </c>
      <c r="O80">
        <v>-38</v>
      </c>
      <c r="P80">
        <v>-56</v>
      </c>
      <c r="Q80">
        <v>29</v>
      </c>
      <c r="R80">
        <v>-71</v>
      </c>
      <c r="S80">
        <v>-39</v>
      </c>
      <c r="T80">
        <v>-64</v>
      </c>
      <c r="V80" s="567"/>
    </row>
    <row r="81" spans="1:22" ht="29" x14ac:dyDescent="0.35">
      <c r="A81">
        <v>3141</v>
      </c>
      <c r="B81" t="s">
        <v>585</v>
      </c>
      <c r="C81">
        <v>955</v>
      </c>
      <c r="D81">
        <v>953</v>
      </c>
      <c r="E81">
        <v>951</v>
      </c>
      <c r="F81">
        <v>967</v>
      </c>
      <c r="G81">
        <v>946</v>
      </c>
      <c r="H81">
        <v>930</v>
      </c>
      <c r="I81">
        <v>931</v>
      </c>
      <c r="J81">
        <v>947</v>
      </c>
      <c r="K81">
        <v>945</v>
      </c>
      <c r="M81">
        <v>-2</v>
      </c>
      <c r="N81">
        <v>-2</v>
      </c>
      <c r="O81">
        <v>16</v>
      </c>
      <c r="P81">
        <v>-21</v>
      </c>
      <c r="Q81">
        <v>-16</v>
      </c>
      <c r="R81">
        <v>1</v>
      </c>
      <c r="S81">
        <v>16</v>
      </c>
      <c r="T81">
        <v>-2</v>
      </c>
      <c r="V81" s="567" t="s">
        <v>701</v>
      </c>
    </row>
    <row r="82" spans="1:22" ht="29" x14ac:dyDescent="0.35">
      <c r="A82">
        <v>4021</v>
      </c>
      <c r="B82" t="s">
        <v>586</v>
      </c>
      <c r="C82">
        <v>943</v>
      </c>
      <c r="D82">
        <v>948</v>
      </c>
      <c r="E82">
        <v>942</v>
      </c>
      <c r="F82">
        <v>937</v>
      </c>
      <c r="G82">
        <v>921</v>
      </c>
      <c r="H82">
        <v>938</v>
      </c>
      <c r="I82">
        <v>935</v>
      </c>
      <c r="J82">
        <v>940</v>
      </c>
      <c r="K82">
        <v>945</v>
      </c>
      <c r="M82">
        <v>5</v>
      </c>
      <c r="N82">
        <v>-6</v>
      </c>
      <c r="O82">
        <v>-5</v>
      </c>
      <c r="P82">
        <v>-16</v>
      </c>
      <c r="Q82">
        <v>17</v>
      </c>
      <c r="R82">
        <v>-3</v>
      </c>
      <c r="S82">
        <v>5</v>
      </c>
      <c r="T82">
        <v>5</v>
      </c>
      <c r="V82" s="567" t="s">
        <v>702</v>
      </c>
    </row>
    <row r="83" spans="1:22" ht="29" x14ac:dyDescent="0.35">
      <c r="A83">
        <v>5011</v>
      </c>
      <c r="B83" t="s">
        <v>587</v>
      </c>
      <c r="C83" s="249">
        <v>1004</v>
      </c>
      <c r="D83" s="249">
        <v>1013</v>
      </c>
      <c r="E83" s="249">
        <v>1003</v>
      </c>
      <c r="F83">
        <v>964</v>
      </c>
      <c r="G83">
        <v>943</v>
      </c>
      <c r="H83">
        <v>983</v>
      </c>
      <c r="I83" s="249">
        <v>1028</v>
      </c>
      <c r="J83" s="249">
        <v>1049</v>
      </c>
      <c r="K83">
        <v>982</v>
      </c>
      <c r="M83">
        <v>9</v>
      </c>
      <c r="N83">
        <v>-10</v>
      </c>
      <c r="O83">
        <v>-39</v>
      </c>
      <c r="P83">
        <v>-21</v>
      </c>
      <c r="Q83">
        <v>40</v>
      </c>
      <c r="R83">
        <v>45</v>
      </c>
      <c r="S83">
        <v>21</v>
      </c>
      <c r="T83">
        <v>-67</v>
      </c>
      <c r="V83" s="567" t="s">
        <v>703</v>
      </c>
    </row>
    <row r="84" spans="1:22" x14ac:dyDescent="0.35">
      <c r="B84" s="254" t="s">
        <v>588</v>
      </c>
      <c r="C84" s="561">
        <v>17990</v>
      </c>
      <c r="D84" s="561">
        <v>17869</v>
      </c>
      <c r="E84" s="561">
        <v>17764</v>
      </c>
      <c r="F84" s="561">
        <v>17352</v>
      </c>
      <c r="G84" s="561">
        <v>17878</v>
      </c>
      <c r="H84" s="561">
        <v>18528</v>
      </c>
      <c r="I84" s="561">
        <v>18361</v>
      </c>
      <c r="J84" s="561">
        <v>18216</v>
      </c>
      <c r="K84" s="562">
        <v>18052</v>
      </c>
      <c r="L84" s="254"/>
      <c r="M84" s="254">
        <v>-121</v>
      </c>
      <c r="N84" s="254">
        <v>-105</v>
      </c>
      <c r="O84" s="254">
        <v>-412</v>
      </c>
      <c r="P84" s="254">
        <v>526</v>
      </c>
      <c r="Q84" s="254">
        <v>650</v>
      </c>
      <c r="R84" s="254">
        <v>-167</v>
      </c>
      <c r="S84" s="254">
        <v>-145</v>
      </c>
      <c r="T84" s="254">
        <v>-164</v>
      </c>
      <c r="U84" s="254"/>
      <c r="V84" s="566"/>
    </row>
    <row r="85" spans="1:22" x14ac:dyDescent="0.35">
      <c r="A85">
        <v>11</v>
      </c>
      <c r="B85" t="s">
        <v>589</v>
      </c>
      <c r="C85" s="249">
        <v>1412</v>
      </c>
      <c r="D85" s="249">
        <v>1381</v>
      </c>
      <c r="E85" s="249">
        <v>1310</v>
      </c>
      <c r="F85" s="249">
        <v>1230</v>
      </c>
      <c r="G85" s="249">
        <v>1231</v>
      </c>
      <c r="H85" s="249">
        <v>1313</v>
      </c>
      <c r="I85" s="249">
        <v>1309</v>
      </c>
      <c r="J85" s="249">
        <v>1277</v>
      </c>
      <c r="K85" s="249">
        <v>1260</v>
      </c>
      <c r="M85">
        <v>-31</v>
      </c>
      <c r="N85">
        <v>-71</v>
      </c>
      <c r="O85">
        <v>-80</v>
      </c>
      <c r="P85">
        <v>1</v>
      </c>
      <c r="Q85">
        <v>82</v>
      </c>
      <c r="R85">
        <v>-4</v>
      </c>
      <c r="S85">
        <v>-32</v>
      </c>
      <c r="T85">
        <v>-17</v>
      </c>
      <c r="V85" s="567" t="s">
        <v>657</v>
      </c>
    </row>
    <row r="86" spans="1:22" ht="29" x14ac:dyDescent="0.35">
      <c r="A86">
        <v>161</v>
      </c>
      <c r="B86" t="s">
        <v>590</v>
      </c>
      <c r="C86" s="249">
        <v>1070</v>
      </c>
      <c r="D86" s="249">
        <v>1076</v>
      </c>
      <c r="E86" s="249">
        <v>1055</v>
      </c>
      <c r="F86" s="249">
        <v>1087</v>
      </c>
      <c r="G86" s="249">
        <v>1077</v>
      </c>
      <c r="H86" s="249">
        <v>1109</v>
      </c>
      <c r="I86" s="249">
        <v>1056</v>
      </c>
      <c r="J86" s="249">
        <v>1054</v>
      </c>
      <c r="K86" s="249">
        <v>1047</v>
      </c>
      <c r="M86">
        <v>6</v>
      </c>
      <c r="N86">
        <v>-21</v>
      </c>
      <c r="O86">
        <v>32</v>
      </c>
      <c r="P86">
        <v>-10</v>
      </c>
      <c r="Q86">
        <v>32</v>
      </c>
      <c r="R86">
        <v>-53</v>
      </c>
      <c r="S86">
        <v>-2</v>
      </c>
      <c r="T86">
        <v>-7</v>
      </c>
      <c r="V86" s="567" t="s">
        <v>704</v>
      </c>
    </row>
    <row r="87" spans="1:22" ht="29" x14ac:dyDescent="0.35">
      <c r="A87">
        <v>1011</v>
      </c>
      <c r="B87" t="s">
        <v>591</v>
      </c>
      <c r="C87" s="249">
        <v>1537</v>
      </c>
      <c r="D87" s="249">
        <v>1516</v>
      </c>
      <c r="E87" s="249">
        <v>1518</v>
      </c>
      <c r="F87" s="249">
        <v>1518</v>
      </c>
      <c r="G87" s="249">
        <v>1568</v>
      </c>
      <c r="H87" s="249">
        <v>1559</v>
      </c>
      <c r="I87" s="249">
        <v>1544</v>
      </c>
      <c r="J87" s="249">
        <v>1577</v>
      </c>
      <c r="K87" s="249">
        <v>1579</v>
      </c>
      <c r="M87">
        <v>-21</v>
      </c>
      <c r="N87">
        <v>2</v>
      </c>
      <c r="O87">
        <v>0</v>
      </c>
      <c r="P87">
        <v>50</v>
      </c>
      <c r="Q87">
        <v>-9</v>
      </c>
      <c r="R87">
        <v>-15</v>
      </c>
      <c r="S87">
        <v>33</v>
      </c>
      <c r="T87">
        <v>2</v>
      </c>
      <c r="V87" s="567" t="s">
        <v>705</v>
      </c>
    </row>
    <row r="88" spans="1:22" ht="29" x14ac:dyDescent="0.35">
      <c r="A88">
        <v>1171</v>
      </c>
      <c r="B88" t="s">
        <v>592</v>
      </c>
      <c r="C88" s="249">
        <v>2109</v>
      </c>
      <c r="D88" s="249">
        <v>2157</v>
      </c>
      <c r="E88" s="249">
        <v>2154</v>
      </c>
      <c r="F88" s="249">
        <v>2096</v>
      </c>
      <c r="G88" s="249">
        <v>2216</v>
      </c>
      <c r="H88" s="249">
        <v>2289</v>
      </c>
      <c r="I88" s="249">
        <v>2312</v>
      </c>
      <c r="J88" s="249">
        <v>2333</v>
      </c>
      <c r="K88" s="249">
        <v>2379</v>
      </c>
      <c r="M88">
        <v>48</v>
      </c>
      <c r="N88">
        <v>-3</v>
      </c>
      <c r="O88">
        <v>-58</v>
      </c>
      <c r="P88">
        <v>120</v>
      </c>
      <c r="Q88">
        <v>73</v>
      </c>
      <c r="R88">
        <v>23</v>
      </c>
      <c r="S88">
        <v>21</v>
      </c>
      <c r="T88">
        <v>46</v>
      </c>
      <c r="V88" s="570" t="s">
        <v>706</v>
      </c>
    </row>
    <row r="89" spans="1:22" ht="29" x14ac:dyDescent="0.35">
      <c r="A89">
        <v>2011</v>
      </c>
      <c r="B89" t="s">
        <v>593</v>
      </c>
      <c r="C89" s="249">
        <v>2217</v>
      </c>
      <c r="D89" s="249">
        <v>2113</v>
      </c>
      <c r="E89" s="249">
        <v>2140</v>
      </c>
      <c r="F89" s="249">
        <v>2112</v>
      </c>
      <c r="G89" s="249">
        <v>2210</v>
      </c>
      <c r="H89" s="249">
        <v>2245</v>
      </c>
      <c r="I89" s="249">
        <v>2178</v>
      </c>
      <c r="J89" s="249">
        <v>2210</v>
      </c>
      <c r="K89" s="249">
        <v>2202</v>
      </c>
      <c r="M89">
        <v>-104</v>
      </c>
      <c r="N89">
        <v>27</v>
      </c>
      <c r="O89">
        <v>-28</v>
      </c>
      <c r="P89">
        <v>98</v>
      </c>
      <c r="Q89">
        <v>35</v>
      </c>
      <c r="R89">
        <v>-67</v>
      </c>
      <c r="S89">
        <v>32</v>
      </c>
      <c r="T89">
        <v>-8</v>
      </c>
      <c r="V89" s="569" t="s">
        <v>707</v>
      </c>
    </row>
    <row r="90" spans="1:22" x14ac:dyDescent="0.35">
      <c r="A90">
        <v>2021</v>
      </c>
      <c r="B90" t="s">
        <v>594</v>
      </c>
      <c r="C90" s="249">
        <v>1587</v>
      </c>
      <c r="D90" s="249">
        <v>1543</v>
      </c>
      <c r="E90" s="249">
        <v>1413</v>
      </c>
      <c r="F90" s="249">
        <v>1336</v>
      </c>
      <c r="G90" s="249">
        <v>1286</v>
      </c>
      <c r="H90" s="249">
        <v>1483</v>
      </c>
      <c r="I90" s="249">
        <v>1410</v>
      </c>
      <c r="J90" s="249">
        <v>1366</v>
      </c>
      <c r="K90" s="249">
        <v>1326</v>
      </c>
      <c r="M90">
        <v>-44</v>
      </c>
      <c r="N90">
        <v>-130</v>
      </c>
      <c r="O90">
        <v>-77</v>
      </c>
      <c r="P90">
        <v>-50</v>
      </c>
      <c r="Q90">
        <v>197</v>
      </c>
      <c r="R90">
        <v>-73</v>
      </c>
      <c r="S90">
        <v>-44</v>
      </c>
      <c r="T90">
        <v>-40</v>
      </c>
      <c r="V90" s="567"/>
    </row>
    <row r="91" spans="1:22" ht="58" x14ac:dyDescent="0.35">
      <c r="A91">
        <v>2211</v>
      </c>
      <c r="B91" t="s">
        <v>595</v>
      </c>
      <c r="C91" s="249">
        <v>1718</v>
      </c>
      <c r="D91" s="249">
        <v>1706</v>
      </c>
      <c r="E91" s="249">
        <v>1646</v>
      </c>
      <c r="F91" s="249">
        <v>1568</v>
      </c>
      <c r="G91" s="249">
        <v>1653</v>
      </c>
      <c r="H91" s="249">
        <v>1851</v>
      </c>
      <c r="I91" s="249">
        <v>2039</v>
      </c>
      <c r="J91" s="249">
        <v>2126</v>
      </c>
      <c r="K91" s="249">
        <v>2173</v>
      </c>
      <c r="M91">
        <v>-12</v>
      </c>
      <c r="N91">
        <v>-60</v>
      </c>
      <c r="O91">
        <v>-78</v>
      </c>
      <c r="P91">
        <v>85</v>
      </c>
      <c r="Q91">
        <v>198</v>
      </c>
      <c r="R91">
        <v>188</v>
      </c>
      <c r="S91">
        <v>87</v>
      </c>
      <c r="T91">
        <v>47</v>
      </c>
      <c r="V91" s="570" t="s">
        <v>708</v>
      </c>
    </row>
    <row r="92" spans="1:22" x14ac:dyDescent="0.35">
      <c r="A92">
        <v>2311</v>
      </c>
      <c r="B92" t="s">
        <v>596</v>
      </c>
      <c r="C92" s="249">
        <v>1778</v>
      </c>
      <c r="D92" s="249">
        <v>1831</v>
      </c>
      <c r="E92" s="249">
        <v>1889</v>
      </c>
      <c r="F92" s="249">
        <v>1899</v>
      </c>
      <c r="G92" s="249">
        <v>1991</v>
      </c>
      <c r="H92" s="249">
        <v>2033</v>
      </c>
      <c r="I92" s="249">
        <v>2037</v>
      </c>
      <c r="J92" s="249">
        <v>1992</v>
      </c>
      <c r="K92" s="249">
        <v>1969</v>
      </c>
      <c r="M92">
        <v>53</v>
      </c>
      <c r="N92">
        <v>58</v>
      </c>
      <c r="O92">
        <v>10</v>
      </c>
      <c r="P92">
        <v>92</v>
      </c>
      <c r="Q92">
        <v>42</v>
      </c>
      <c r="R92">
        <v>4</v>
      </c>
      <c r="S92">
        <v>-45</v>
      </c>
      <c r="T92">
        <v>-23</v>
      </c>
      <c r="V92" s="567"/>
    </row>
    <row r="93" spans="1:22" ht="29" x14ac:dyDescent="0.35">
      <c r="A93">
        <v>3011</v>
      </c>
      <c r="B93" t="s">
        <v>597</v>
      </c>
      <c r="C93" s="249">
        <v>1657</v>
      </c>
      <c r="D93" s="249">
        <v>1676</v>
      </c>
      <c r="E93" s="249">
        <v>1689</v>
      </c>
      <c r="F93" s="249">
        <v>1605</v>
      </c>
      <c r="G93" s="249">
        <v>1610</v>
      </c>
      <c r="H93" s="249">
        <v>1582</v>
      </c>
      <c r="I93" s="249">
        <v>1489</v>
      </c>
      <c r="J93" s="249">
        <v>1400</v>
      </c>
      <c r="K93" s="249">
        <v>1416</v>
      </c>
      <c r="M93">
        <v>19</v>
      </c>
      <c r="N93">
        <v>13</v>
      </c>
      <c r="O93">
        <v>-84</v>
      </c>
      <c r="P93">
        <v>5</v>
      </c>
      <c r="Q93">
        <v>-28</v>
      </c>
      <c r="R93">
        <v>-93</v>
      </c>
      <c r="S93">
        <v>-89</v>
      </c>
      <c r="T93">
        <v>16</v>
      </c>
      <c r="V93" s="567" t="s">
        <v>709</v>
      </c>
    </row>
    <row r="94" spans="1:22" ht="29" x14ac:dyDescent="0.35">
      <c r="A94">
        <v>4011</v>
      </c>
      <c r="B94" t="s">
        <v>598</v>
      </c>
      <c r="C94" s="249">
        <v>1569</v>
      </c>
      <c r="D94" s="249">
        <v>1542</v>
      </c>
      <c r="E94" s="249">
        <v>1528</v>
      </c>
      <c r="F94" s="249">
        <v>1489</v>
      </c>
      <c r="G94" s="249">
        <v>1523</v>
      </c>
      <c r="H94" s="249">
        <v>1546</v>
      </c>
      <c r="I94" s="249">
        <v>1481</v>
      </c>
      <c r="J94" s="249">
        <v>1445</v>
      </c>
      <c r="K94" s="249">
        <v>1328</v>
      </c>
      <c r="M94">
        <v>-27</v>
      </c>
      <c r="N94">
        <v>-14</v>
      </c>
      <c r="O94">
        <v>-39</v>
      </c>
      <c r="P94">
        <v>34</v>
      </c>
      <c r="Q94">
        <v>23</v>
      </c>
      <c r="R94">
        <v>-65</v>
      </c>
      <c r="S94">
        <v>-36</v>
      </c>
      <c r="T94">
        <v>-117</v>
      </c>
      <c r="V94" s="567" t="s">
        <v>710</v>
      </c>
    </row>
    <row r="95" spans="1:22" ht="29" x14ac:dyDescent="0.35">
      <c r="A95">
        <v>6011</v>
      </c>
      <c r="B95" t="s">
        <v>599</v>
      </c>
      <c r="C95" s="249">
        <v>1336</v>
      </c>
      <c r="D95" s="249">
        <v>1328</v>
      </c>
      <c r="E95" s="249">
        <v>1422</v>
      </c>
      <c r="F95" s="249">
        <v>1412</v>
      </c>
      <c r="G95" s="249">
        <v>1513</v>
      </c>
      <c r="H95" s="249">
        <v>1518</v>
      </c>
      <c r="I95" s="249">
        <v>1506</v>
      </c>
      <c r="J95" s="249">
        <v>1436</v>
      </c>
      <c r="K95" s="249">
        <v>1373</v>
      </c>
      <c r="M95">
        <v>-8</v>
      </c>
      <c r="N95">
        <v>94</v>
      </c>
      <c r="O95">
        <v>-10</v>
      </c>
      <c r="P95">
        <v>101</v>
      </c>
      <c r="Q95">
        <v>5</v>
      </c>
      <c r="R95">
        <v>-12</v>
      </c>
      <c r="S95">
        <v>-70</v>
      </c>
      <c r="T95">
        <v>-63</v>
      </c>
      <c r="V95" s="569" t="s">
        <v>711</v>
      </c>
    </row>
    <row r="96" spans="1:22" x14ac:dyDescent="0.35">
      <c r="B96" s="254" t="s">
        <v>600</v>
      </c>
      <c r="C96" s="254">
        <v>878</v>
      </c>
      <c r="D96" s="254">
        <v>954</v>
      </c>
      <c r="E96" s="254">
        <v>919</v>
      </c>
      <c r="F96" s="561">
        <v>1981</v>
      </c>
      <c r="G96" s="561">
        <v>1535</v>
      </c>
      <c r="H96" s="561">
        <v>1192</v>
      </c>
      <c r="I96" s="561">
        <v>1153</v>
      </c>
      <c r="J96" s="561">
        <v>1118</v>
      </c>
      <c r="K96" s="562">
        <v>1107</v>
      </c>
      <c r="L96" s="254"/>
      <c r="M96" s="254">
        <v>76</v>
      </c>
      <c r="N96" s="254">
        <v>-35</v>
      </c>
      <c r="O96" s="561">
        <v>1062</v>
      </c>
      <c r="P96" s="254">
        <v>-446</v>
      </c>
      <c r="Q96" s="254">
        <v>-343</v>
      </c>
      <c r="R96" s="254">
        <v>-39</v>
      </c>
      <c r="S96" s="254">
        <v>-35</v>
      </c>
      <c r="T96" s="254">
        <v>-11</v>
      </c>
      <c r="U96" s="254"/>
      <c r="V96" s="566"/>
    </row>
    <row r="97" spans="1:22" x14ac:dyDescent="0.35">
      <c r="A97">
        <v>89</v>
      </c>
      <c r="B97" t="s">
        <v>601</v>
      </c>
      <c r="C97">
        <v>106</v>
      </c>
      <c r="D97">
        <v>111</v>
      </c>
      <c r="E97">
        <v>92</v>
      </c>
      <c r="F97">
        <v>87</v>
      </c>
      <c r="G97">
        <v>70</v>
      </c>
      <c r="H97">
        <v>95</v>
      </c>
      <c r="I97">
        <v>74</v>
      </c>
      <c r="J97">
        <v>62</v>
      </c>
      <c r="K97">
        <v>70</v>
      </c>
      <c r="M97">
        <v>5</v>
      </c>
      <c r="N97">
        <v>-19</v>
      </c>
      <c r="O97">
        <v>-5</v>
      </c>
      <c r="P97">
        <v>-17</v>
      </c>
      <c r="Q97">
        <v>25</v>
      </c>
      <c r="R97">
        <v>-21</v>
      </c>
      <c r="S97">
        <v>-12</v>
      </c>
      <c r="T97">
        <v>8</v>
      </c>
      <c r="V97" s="567" t="s">
        <v>658</v>
      </c>
    </row>
    <row r="98" spans="1:22" x14ac:dyDescent="0.35">
      <c r="A98">
        <v>1002</v>
      </c>
      <c r="B98" t="s">
        <v>602</v>
      </c>
      <c r="C98">
        <v>31</v>
      </c>
      <c r="D98">
        <v>30</v>
      </c>
      <c r="E98">
        <v>16</v>
      </c>
      <c r="F98">
        <v>17</v>
      </c>
      <c r="G98">
        <v>14</v>
      </c>
      <c r="M98">
        <v>-1</v>
      </c>
      <c r="N98">
        <v>-14</v>
      </c>
      <c r="O98">
        <v>1</v>
      </c>
      <c r="P98">
        <v>-3</v>
      </c>
      <c r="Q98">
        <v>-14</v>
      </c>
      <c r="R98">
        <v>0</v>
      </c>
      <c r="S98">
        <v>0</v>
      </c>
      <c r="T98">
        <v>0</v>
      </c>
      <c r="V98" s="567" t="s">
        <v>659</v>
      </c>
    </row>
    <row r="99" spans="1:22" x14ac:dyDescent="0.35">
      <c r="A99">
        <v>1014</v>
      </c>
      <c r="B99" t="s">
        <v>603</v>
      </c>
      <c r="C99">
        <v>5</v>
      </c>
      <c r="D99">
        <v>9</v>
      </c>
      <c r="E99">
        <v>11</v>
      </c>
      <c r="F99">
        <v>8</v>
      </c>
      <c r="G99">
        <v>3</v>
      </c>
      <c r="H99">
        <v>3</v>
      </c>
      <c r="I99">
        <v>9</v>
      </c>
      <c r="J99">
        <v>10</v>
      </c>
      <c r="K99">
        <v>8</v>
      </c>
      <c r="M99">
        <v>4</v>
      </c>
      <c r="N99">
        <v>2</v>
      </c>
      <c r="O99">
        <v>-3</v>
      </c>
      <c r="P99">
        <v>-5</v>
      </c>
      <c r="Q99">
        <v>0</v>
      </c>
      <c r="R99">
        <v>6</v>
      </c>
      <c r="S99">
        <v>1</v>
      </c>
      <c r="T99">
        <v>-2</v>
      </c>
      <c r="V99" s="567" t="s">
        <v>660</v>
      </c>
    </row>
    <row r="100" spans="1:22" x14ac:dyDescent="0.35">
      <c r="A100">
        <v>1017</v>
      </c>
      <c r="B100" t="s">
        <v>604</v>
      </c>
      <c r="C100">
        <v>48</v>
      </c>
      <c r="D100">
        <v>54</v>
      </c>
      <c r="E100">
        <v>99</v>
      </c>
      <c r="F100">
        <v>26</v>
      </c>
      <c r="G100">
        <v>66</v>
      </c>
      <c r="H100">
        <v>54</v>
      </c>
      <c r="I100">
        <v>79</v>
      </c>
      <c r="J100">
        <v>61</v>
      </c>
      <c r="K100">
        <v>59</v>
      </c>
      <c r="M100">
        <v>6</v>
      </c>
      <c r="N100">
        <v>45</v>
      </c>
      <c r="O100">
        <v>-73</v>
      </c>
      <c r="P100">
        <v>40</v>
      </c>
      <c r="Q100">
        <v>-12</v>
      </c>
      <c r="R100">
        <v>25</v>
      </c>
      <c r="S100">
        <v>-18</v>
      </c>
      <c r="T100">
        <v>-2</v>
      </c>
      <c r="V100" s="567" t="s">
        <v>660</v>
      </c>
    </row>
    <row r="101" spans="1:22" x14ac:dyDescent="0.35">
      <c r="A101">
        <v>1018</v>
      </c>
      <c r="B101" t="s">
        <v>605</v>
      </c>
      <c r="C101">
        <v>54</v>
      </c>
      <c r="D101">
        <v>70</v>
      </c>
      <c r="E101">
        <v>68</v>
      </c>
      <c r="F101">
        <v>19</v>
      </c>
      <c r="G101">
        <v>75</v>
      </c>
      <c r="H101">
        <v>66</v>
      </c>
      <c r="I101">
        <v>80</v>
      </c>
      <c r="J101">
        <v>70</v>
      </c>
      <c r="K101">
        <v>66</v>
      </c>
      <c r="M101">
        <v>16</v>
      </c>
      <c r="N101">
        <v>-2</v>
      </c>
      <c r="O101">
        <v>-49</v>
      </c>
      <c r="P101">
        <v>56</v>
      </c>
      <c r="Q101">
        <v>-9</v>
      </c>
      <c r="R101">
        <v>14</v>
      </c>
      <c r="S101">
        <v>-10</v>
      </c>
      <c r="T101">
        <v>-4</v>
      </c>
      <c r="V101" s="567" t="s">
        <v>660</v>
      </c>
    </row>
    <row r="102" spans="1:22" x14ac:dyDescent="0.35">
      <c r="A102">
        <v>1021</v>
      </c>
      <c r="B102" t="s">
        <v>606</v>
      </c>
      <c r="C102">
        <v>191</v>
      </c>
      <c r="D102">
        <v>221</v>
      </c>
      <c r="E102">
        <v>179</v>
      </c>
      <c r="F102">
        <v>130</v>
      </c>
      <c r="G102">
        <v>175</v>
      </c>
      <c r="H102">
        <v>211</v>
      </c>
      <c r="I102">
        <v>221</v>
      </c>
      <c r="J102">
        <v>141</v>
      </c>
      <c r="K102">
        <v>141</v>
      </c>
      <c r="M102">
        <v>30</v>
      </c>
      <c r="N102">
        <v>-42</v>
      </c>
      <c r="O102">
        <v>-49</v>
      </c>
      <c r="P102">
        <v>45</v>
      </c>
      <c r="Q102">
        <v>36</v>
      </c>
      <c r="R102">
        <v>10</v>
      </c>
      <c r="S102">
        <v>-80</v>
      </c>
      <c r="T102">
        <v>0</v>
      </c>
      <c r="V102" s="567"/>
    </row>
    <row r="103" spans="1:22" x14ac:dyDescent="0.35">
      <c r="A103">
        <v>1025</v>
      </c>
      <c r="B103" t="s">
        <v>607</v>
      </c>
      <c r="C103">
        <v>29</v>
      </c>
      <c r="D103">
        <v>29</v>
      </c>
      <c r="E103">
        <v>30</v>
      </c>
      <c r="F103">
        <v>14</v>
      </c>
      <c r="G103">
        <v>12</v>
      </c>
      <c r="H103">
        <v>11</v>
      </c>
      <c r="I103">
        <v>29</v>
      </c>
      <c r="J103">
        <v>27</v>
      </c>
      <c r="K103">
        <v>33</v>
      </c>
      <c r="M103">
        <v>0</v>
      </c>
      <c r="N103">
        <v>1</v>
      </c>
      <c r="O103">
        <v>-16</v>
      </c>
      <c r="P103">
        <v>-2</v>
      </c>
      <c r="Q103">
        <v>-1</v>
      </c>
      <c r="R103">
        <v>18</v>
      </c>
      <c r="S103">
        <v>-2</v>
      </c>
      <c r="T103">
        <v>6</v>
      </c>
      <c r="V103" s="567" t="s">
        <v>660</v>
      </c>
    </row>
    <row r="104" spans="1:22" x14ac:dyDescent="0.35">
      <c r="A104">
        <v>1027</v>
      </c>
      <c r="B104" t="s">
        <v>608</v>
      </c>
      <c r="C104">
        <v>32</v>
      </c>
      <c r="D104">
        <v>32</v>
      </c>
      <c r="E104">
        <v>25</v>
      </c>
      <c r="F104">
        <v>12</v>
      </c>
      <c r="G104">
        <v>13</v>
      </c>
      <c r="H104">
        <v>13</v>
      </c>
      <c r="I104">
        <v>9</v>
      </c>
      <c r="M104">
        <v>0</v>
      </c>
      <c r="N104">
        <v>-7</v>
      </c>
      <c r="O104">
        <v>-13</v>
      </c>
      <c r="P104">
        <v>1</v>
      </c>
      <c r="Q104">
        <v>0</v>
      </c>
      <c r="R104">
        <v>-4</v>
      </c>
      <c r="S104">
        <v>-9</v>
      </c>
      <c r="T104">
        <v>0</v>
      </c>
      <c r="V104" s="567" t="s">
        <v>659</v>
      </c>
    </row>
    <row r="105" spans="1:22" x14ac:dyDescent="0.35">
      <c r="A105">
        <v>1028</v>
      </c>
      <c r="B105" t="s">
        <v>609</v>
      </c>
      <c r="C105">
        <v>59</v>
      </c>
      <c r="D105">
        <v>54</v>
      </c>
      <c r="E105">
        <v>44</v>
      </c>
      <c r="F105">
        <v>59</v>
      </c>
      <c r="G105">
        <v>74</v>
      </c>
      <c r="H105">
        <v>63</v>
      </c>
      <c r="I105">
        <v>71</v>
      </c>
      <c r="J105">
        <v>66</v>
      </c>
      <c r="K105">
        <v>65</v>
      </c>
      <c r="M105">
        <v>-5</v>
      </c>
      <c r="N105">
        <v>-10</v>
      </c>
      <c r="O105">
        <v>15</v>
      </c>
      <c r="P105">
        <v>15</v>
      </c>
      <c r="Q105">
        <v>-11</v>
      </c>
      <c r="R105">
        <v>8</v>
      </c>
      <c r="S105">
        <v>-5</v>
      </c>
      <c r="T105">
        <v>-1</v>
      </c>
      <c r="V105" s="567" t="s">
        <v>658</v>
      </c>
    </row>
    <row r="106" spans="1:22" x14ac:dyDescent="0.35">
      <c r="A106">
        <v>1073</v>
      </c>
      <c r="B106" t="s">
        <v>610</v>
      </c>
      <c r="C106">
        <v>43</v>
      </c>
      <c r="D106">
        <v>37</v>
      </c>
      <c r="E106">
        <v>46</v>
      </c>
      <c r="F106">
        <v>52</v>
      </c>
      <c r="G106">
        <v>34</v>
      </c>
      <c r="H106">
        <v>41</v>
      </c>
      <c r="I106">
        <v>49</v>
      </c>
      <c r="J106">
        <v>19</v>
      </c>
      <c r="K106">
        <v>20</v>
      </c>
      <c r="M106">
        <v>-6</v>
      </c>
      <c r="N106">
        <v>9</v>
      </c>
      <c r="O106">
        <v>6</v>
      </c>
      <c r="P106">
        <v>-18</v>
      </c>
      <c r="Q106">
        <v>7</v>
      </c>
      <c r="R106">
        <v>8</v>
      </c>
      <c r="S106">
        <v>-30</v>
      </c>
      <c r="T106">
        <v>1</v>
      </c>
      <c r="V106" s="567"/>
    </row>
    <row r="107" spans="1:22" x14ac:dyDescent="0.35">
      <c r="A107">
        <v>7004</v>
      </c>
      <c r="B107" t="s">
        <v>611</v>
      </c>
      <c r="C107">
        <v>139</v>
      </c>
      <c r="D107">
        <v>166</v>
      </c>
      <c r="E107">
        <v>143</v>
      </c>
      <c r="F107" s="249">
        <v>1196</v>
      </c>
      <c r="G107">
        <v>542</v>
      </c>
      <c r="H107">
        <v>276</v>
      </c>
      <c r="I107">
        <v>226</v>
      </c>
      <c r="J107">
        <v>214</v>
      </c>
      <c r="K107">
        <v>227</v>
      </c>
      <c r="M107">
        <v>27</v>
      </c>
      <c r="N107">
        <v>-23</v>
      </c>
      <c r="O107" s="249">
        <v>1053</v>
      </c>
      <c r="P107">
        <v>-654</v>
      </c>
      <c r="Q107">
        <v>-266</v>
      </c>
      <c r="R107">
        <v>-50</v>
      </c>
      <c r="S107">
        <v>-12</v>
      </c>
      <c r="T107">
        <v>13</v>
      </c>
      <c r="V107" s="568" t="s">
        <v>661</v>
      </c>
    </row>
    <row r="108" spans="1:22" x14ac:dyDescent="0.35">
      <c r="A108" t="s">
        <v>612</v>
      </c>
      <c r="B108" t="s">
        <v>613</v>
      </c>
      <c r="C108">
        <v>141</v>
      </c>
      <c r="D108">
        <v>141</v>
      </c>
      <c r="E108">
        <v>166</v>
      </c>
      <c r="F108">
        <v>361</v>
      </c>
      <c r="G108">
        <v>457</v>
      </c>
      <c r="H108">
        <v>359</v>
      </c>
      <c r="I108">
        <v>306</v>
      </c>
      <c r="J108">
        <v>448</v>
      </c>
      <c r="K108">
        <v>418</v>
      </c>
      <c r="M108">
        <v>0</v>
      </c>
      <c r="N108">
        <v>25</v>
      </c>
      <c r="O108">
        <v>195</v>
      </c>
      <c r="P108">
        <v>96</v>
      </c>
      <c r="Q108">
        <v>-98</v>
      </c>
      <c r="R108">
        <v>-53</v>
      </c>
      <c r="S108">
        <v>142</v>
      </c>
      <c r="T108">
        <v>-30</v>
      </c>
      <c r="V108" s="567"/>
    </row>
    <row r="109" spans="1:22" x14ac:dyDescent="0.35">
      <c r="B109" s="254" t="s">
        <v>614</v>
      </c>
      <c r="C109" s="561">
        <v>5733</v>
      </c>
      <c r="D109" s="561">
        <v>6350</v>
      </c>
      <c r="E109" s="561">
        <v>6719</v>
      </c>
      <c r="F109" s="561">
        <v>7437</v>
      </c>
      <c r="G109" s="561">
        <v>8285</v>
      </c>
      <c r="H109" s="561">
        <v>9218</v>
      </c>
      <c r="I109" s="561">
        <v>9634</v>
      </c>
      <c r="J109" s="561">
        <v>9806</v>
      </c>
      <c r="K109" s="562">
        <v>9887</v>
      </c>
      <c r="L109" s="254"/>
      <c r="M109" s="254">
        <v>617</v>
      </c>
      <c r="N109" s="254">
        <v>369</v>
      </c>
      <c r="O109" s="254">
        <v>718</v>
      </c>
      <c r="P109" s="254">
        <v>848</v>
      </c>
      <c r="Q109" s="254">
        <v>933</v>
      </c>
      <c r="R109" s="254">
        <v>416</v>
      </c>
      <c r="S109" s="254">
        <v>172</v>
      </c>
      <c r="T109" s="254">
        <v>81</v>
      </c>
      <c r="U109" s="254"/>
      <c r="V109" s="566"/>
    </row>
    <row r="110" spans="1:22" x14ac:dyDescent="0.35">
      <c r="A110">
        <v>6501</v>
      </c>
      <c r="B110" t="s">
        <v>615</v>
      </c>
      <c r="C110">
        <v>540</v>
      </c>
      <c r="D110">
        <v>560</v>
      </c>
      <c r="E110">
        <v>426</v>
      </c>
      <c r="F110">
        <v>340</v>
      </c>
      <c r="G110">
        <v>356</v>
      </c>
      <c r="H110">
        <v>362</v>
      </c>
      <c r="I110">
        <v>392</v>
      </c>
      <c r="J110">
        <v>369</v>
      </c>
      <c r="K110">
        <v>353</v>
      </c>
      <c r="M110">
        <v>20</v>
      </c>
      <c r="N110">
        <v>-134</v>
      </c>
      <c r="O110">
        <v>-86</v>
      </c>
      <c r="P110">
        <v>16</v>
      </c>
      <c r="Q110">
        <v>6</v>
      </c>
      <c r="R110">
        <v>30</v>
      </c>
      <c r="S110">
        <v>-23</v>
      </c>
      <c r="T110">
        <v>-16</v>
      </c>
      <c r="V110" s="567"/>
    </row>
    <row r="111" spans="1:22" x14ac:dyDescent="0.35">
      <c r="A111">
        <v>6507</v>
      </c>
      <c r="B111" t="s">
        <v>616</v>
      </c>
      <c r="C111" s="249">
        <v>1403</v>
      </c>
      <c r="D111" s="249">
        <v>1447</v>
      </c>
      <c r="E111" s="249">
        <v>1547</v>
      </c>
      <c r="F111" s="249">
        <v>1665</v>
      </c>
      <c r="G111" s="249">
        <v>1819</v>
      </c>
      <c r="H111" s="249">
        <v>1848</v>
      </c>
      <c r="I111" s="249">
        <v>1912</v>
      </c>
      <c r="J111" s="249">
        <v>1915</v>
      </c>
      <c r="K111" s="249">
        <v>1902</v>
      </c>
      <c r="M111">
        <v>44</v>
      </c>
      <c r="N111">
        <v>100</v>
      </c>
      <c r="O111">
        <v>118</v>
      </c>
      <c r="P111">
        <v>154</v>
      </c>
      <c r="Q111">
        <v>29</v>
      </c>
      <c r="R111">
        <v>64</v>
      </c>
      <c r="S111">
        <v>3</v>
      </c>
      <c r="T111">
        <v>-13</v>
      </c>
      <c r="V111" s="567"/>
    </row>
    <row r="112" spans="1:22" x14ac:dyDescent="0.35">
      <c r="A112">
        <v>6508</v>
      </c>
      <c r="B112" t="s">
        <v>617</v>
      </c>
      <c r="C112">
        <v>551</v>
      </c>
      <c r="D112">
        <v>553</v>
      </c>
      <c r="E112">
        <v>552</v>
      </c>
      <c r="F112">
        <v>553</v>
      </c>
      <c r="G112">
        <v>556</v>
      </c>
      <c r="H112">
        <v>556</v>
      </c>
      <c r="I112">
        <v>560</v>
      </c>
      <c r="J112">
        <v>558</v>
      </c>
      <c r="K112">
        <v>553</v>
      </c>
      <c r="M112">
        <v>2</v>
      </c>
      <c r="N112">
        <v>-1</v>
      </c>
      <c r="O112">
        <v>1</v>
      </c>
      <c r="P112">
        <v>3</v>
      </c>
      <c r="Q112">
        <v>0</v>
      </c>
      <c r="R112">
        <v>4</v>
      </c>
      <c r="S112">
        <v>-2</v>
      </c>
      <c r="T112">
        <v>-5</v>
      </c>
      <c r="V112" s="567"/>
    </row>
    <row r="113" spans="1:22" x14ac:dyDescent="0.35">
      <c r="A113">
        <v>6509</v>
      </c>
      <c r="B113" t="s">
        <v>618</v>
      </c>
      <c r="C113">
        <v>335</v>
      </c>
      <c r="D113">
        <v>335</v>
      </c>
      <c r="E113">
        <v>344</v>
      </c>
      <c r="F113">
        <v>320</v>
      </c>
      <c r="G113">
        <v>332</v>
      </c>
      <c r="H113">
        <v>332</v>
      </c>
      <c r="I113">
        <v>342</v>
      </c>
      <c r="J113">
        <v>339</v>
      </c>
      <c r="K113">
        <v>338</v>
      </c>
      <c r="M113">
        <v>0</v>
      </c>
      <c r="N113">
        <v>9</v>
      </c>
      <c r="O113">
        <v>-24</v>
      </c>
      <c r="P113">
        <v>12</v>
      </c>
      <c r="Q113">
        <v>0</v>
      </c>
      <c r="R113">
        <v>10</v>
      </c>
      <c r="S113">
        <v>-3</v>
      </c>
      <c r="T113">
        <v>-1</v>
      </c>
      <c r="V113" s="567"/>
    </row>
    <row r="114" spans="1:22" x14ac:dyDescent="0.35">
      <c r="A114">
        <v>6511</v>
      </c>
      <c r="B114" t="s">
        <v>619</v>
      </c>
      <c r="C114">
        <v>117</v>
      </c>
      <c r="D114">
        <v>124</v>
      </c>
      <c r="E114">
        <v>128</v>
      </c>
      <c r="F114">
        <v>109</v>
      </c>
      <c r="G114">
        <v>116</v>
      </c>
      <c r="H114">
        <v>131</v>
      </c>
      <c r="I114">
        <v>131</v>
      </c>
      <c r="J114">
        <v>137</v>
      </c>
      <c r="K114">
        <v>141</v>
      </c>
      <c r="M114">
        <v>7</v>
      </c>
      <c r="N114">
        <v>4</v>
      </c>
      <c r="O114">
        <v>-19</v>
      </c>
      <c r="P114">
        <v>7</v>
      </c>
      <c r="Q114">
        <v>15</v>
      </c>
      <c r="R114">
        <v>0</v>
      </c>
      <c r="S114">
        <v>6</v>
      </c>
      <c r="T114">
        <v>4</v>
      </c>
      <c r="V114" s="567"/>
    </row>
    <row r="115" spans="1:22" x14ac:dyDescent="0.35">
      <c r="A115">
        <v>6515</v>
      </c>
      <c r="B115" t="s">
        <v>620</v>
      </c>
      <c r="C115">
        <v>409</v>
      </c>
      <c r="D115">
        <v>438</v>
      </c>
      <c r="E115">
        <v>443</v>
      </c>
      <c r="F115">
        <v>502</v>
      </c>
      <c r="G115">
        <v>535</v>
      </c>
      <c r="H115">
        <v>586</v>
      </c>
      <c r="I115">
        <v>617</v>
      </c>
      <c r="J115">
        <v>664</v>
      </c>
      <c r="K115">
        <v>755</v>
      </c>
      <c r="M115">
        <v>29</v>
      </c>
      <c r="N115">
        <v>5</v>
      </c>
      <c r="O115">
        <v>59</v>
      </c>
      <c r="P115">
        <v>33</v>
      </c>
      <c r="Q115">
        <v>51</v>
      </c>
      <c r="R115">
        <v>31</v>
      </c>
      <c r="S115">
        <v>47</v>
      </c>
      <c r="T115">
        <v>91</v>
      </c>
      <c r="V115" s="567"/>
    </row>
    <row r="116" spans="1:22" x14ac:dyDescent="0.35">
      <c r="A116">
        <v>6521</v>
      </c>
      <c r="B116" t="s">
        <v>621</v>
      </c>
      <c r="I116">
        <v>80</v>
      </c>
      <c r="J116">
        <v>224</v>
      </c>
      <c r="K116">
        <v>218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80</v>
      </c>
      <c r="S116">
        <v>144</v>
      </c>
      <c r="T116">
        <v>-6</v>
      </c>
      <c r="V116" s="567"/>
    </row>
    <row r="117" spans="1:22" x14ac:dyDescent="0.35">
      <c r="A117">
        <v>6523</v>
      </c>
      <c r="B117" t="s">
        <v>622</v>
      </c>
      <c r="C117">
        <v>355</v>
      </c>
      <c r="D117">
        <v>358</v>
      </c>
      <c r="E117">
        <v>365</v>
      </c>
      <c r="F117">
        <v>339</v>
      </c>
      <c r="G117">
        <v>355</v>
      </c>
      <c r="H117">
        <v>341</v>
      </c>
      <c r="I117">
        <v>364</v>
      </c>
      <c r="J117">
        <v>339</v>
      </c>
      <c r="K117">
        <v>340</v>
      </c>
      <c r="M117">
        <v>3</v>
      </c>
      <c r="N117">
        <v>7</v>
      </c>
      <c r="O117">
        <v>-26</v>
      </c>
      <c r="P117">
        <v>16</v>
      </c>
      <c r="Q117">
        <v>-14</v>
      </c>
      <c r="R117">
        <v>23</v>
      </c>
      <c r="S117">
        <v>-25</v>
      </c>
      <c r="T117">
        <v>1</v>
      </c>
      <c r="V117" s="567"/>
    </row>
    <row r="118" spans="1:22" x14ac:dyDescent="0.35">
      <c r="A118">
        <v>6529</v>
      </c>
      <c r="B118" t="s">
        <v>623</v>
      </c>
      <c r="H118">
        <v>562</v>
      </c>
      <c r="I118">
        <v>690</v>
      </c>
      <c r="J118">
        <v>724</v>
      </c>
      <c r="K118">
        <v>749</v>
      </c>
      <c r="M118">
        <v>0</v>
      </c>
      <c r="N118">
        <v>0</v>
      </c>
      <c r="O118">
        <v>0</v>
      </c>
      <c r="P118">
        <v>0</v>
      </c>
      <c r="Q118">
        <v>562</v>
      </c>
      <c r="R118">
        <v>128</v>
      </c>
      <c r="S118">
        <v>34</v>
      </c>
      <c r="T118">
        <v>25</v>
      </c>
      <c r="V118" s="567"/>
    </row>
    <row r="119" spans="1:22" x14ac:dyDescent="0.35">
      <c r="A119">
        <v>6540</v>
      </c>
      <c r="B119" t="s">
        <v>624</v>
      </c>
      <c r="C119" s="249">
        <v>1047</v>
      </c>
      <c r="D119" s="249">
        <v>1054</v>
      </c>
      <c r="E119" s="249">
        <v>1052</v>
      </c>
      <c r="F119" s="249">
        <v>1282</v>
      </c>
      <c r="G119" s="249">
        <v>1350</v>
      </c>
      <c r="H119" s="249">
        <v>1530</v>
      </c>
      <c r="I119" s="249">
        <v>1562</v>
      </c>
      <c r="J119" s="249">
        <v>1529</v>
      </c>
      <c r="K119" s="249">
        <v>1523</v>
      </c>
      <c r="M119">
        <v>7</v>
      </c>
      <c r="N119">
        <v>-2</v>
      </c>
      <c r="O119">
        <v>230</v>
      </c>
      <c r="P119">
        <v>68</v>
      </c>
      <c r="Q119">
        <v>180</v>
      </c>
      <c r="R119">
        <v>32</v>
      </c>
      <c r="S119">
        <v>-33</v>
      </c>
      <c r="T119">
        <v>-6</v>
      </c>
      <c r="V119" s="567"/>
    </row>
    <row r="120" spans="1:22" x14ac:dyDescent="0.35">
      <c r="A120">
        <v>6541</v>
      </c>
      <c r="B120" t="s">
        <v>625</v>
      </c>
      <c r="C120">
        <v>374</v>
      </c>
      <c r="D120">
        <v>405</v>
      </c>
      <c r="E120">
        <v>404</v>
      </c>
      <c r="F120">
        <v>415</v>
      </c>
      <c r="G120">
        <v>413</v>
      </c>
      <c r="H120">
        <v>458</v>
      </c>
      <c r="I120">
        <v>457</v>
      </c>
      <c r="J120">
        <v>462</v>
      </c>
      <c r="K120">
        <v>444</v>
      </c>
      <c r="M120">
        <v>31</v>
      </c>
      <c r="N120">
        <v>-1</v>
      </c>
      <c r="O120">
        <v>11</v>
      </c>
      <c r="P120">
        <v>-2</v>
      </c>
      <c r="Q120">
        <v>45</v>
      </c>
      <c r="R120">
        <v>-1</v>
      </c>
      <c r="S120">
        <v>5</v>
      </c>
      <c r="T120">
        <v>-18</v>
      </c>
      <c r="V120" s="567"/>
    </row>
    <row r="121" spans="1:22" x14ac:dyDescent="0.35">
      <c r="A121">
        <v>6543</v>
      </c>
      <c r="B121" t="s">
        <v>626</v>
      </c>
      <c r="C121">
        <v>602</v>
      </c>
      <c r="D121">
        <v>602</v>
      </c>
      <c r="E121">
        <v>859</v>
      </c>
      <c r="F121">
        <v>919</v>
      </c>
      <c r="G121" s="249">
        <v>1027</v>
      </c>
      <c r="H121" s="249">
        <v>1043</v>
      </c>
      <c r="I121" s="249">
        <v>1067</v>
      </c>
      <c r="J121" s="249">
        <v>1065</v>
      </c>
      <c r="K121" s="249">
        <v>1032</v>
      </c>
      <c r="M121">
        <v>0</v>
      </c>
      <c r="N121">
        <v>257</v>
      </c>
      <c r="O121">
        <v>60</v>
      </c>
      <c r="P121">
        <v>108</v>
      </c>
      <c r="Q121">
        <v>16</v>
      </c>
      <c r="R121">
        <v>24</v>
      </c>
      <c r="S121">
        <v>-2</v>
      </c>
      <c r="T121">
        <v>-33</v>
      </c>
      <c r="V121" s="567"/>
    </row>
    <row r="122" spans="1:22" x14ac:dyDescent="0.35">
      <c r="A122">
        <v>6554</v>
      </c>
      <c r="B122" t="s">
        <v>627</v>
      </c>
      <c r="D122">
        <v>474</v>
      </c>
      <c r="E122">
        <v>599</v>
      </c>
      <c r="F122">
        <v>649</v>
      </c>
      <c r="G122">
        <v>823</v>
      </c>
      <c r="H122">
        <v>796</v>
      </c>
      <c r="I122">
        <v>799</v>
      </c>
      <c r="J122">
        <v>832</v>
      </c>
      <c r="K122">
        <v>868</v>
      </c>
      <c r="M122">
        <v>474</v>
      </c>
      <c r="N122">
        <v>125</v>
      </c>
      <c r="O122">
        <v>50</v>
      </c>
      <c r="P122">
        <v>174</v>
      </c>
      <c r="Q122">
        <v>-27</v>
      </c>
      <c r="R122">
        <v>3</v>
      </c>
      <c r="S122">
        <v>33</v>
      </c>
      <c r="T122">
        <v>36</v>
      </c>
      <c r="V122" s="567"/>
    </row>
    <row r="123" spans="1:22" x14ac:dyDescent="0.35">
      <c r="A123">
        <v>6558</v>
      </c>
      <c r="B123" t="s">
        <v>628</v>
      </c>
      <c r="F123">
        <v>344</v>
      </c>
      <c r="G123">
        <v>603</v>
      </c>
      <c r="H123">
        <v>673</v>
      </c>
      <c r="I123">
        <v>661</v>
      </c>
      <c r="J123">
        <v>649</v>
      </c>
      <c r="K123">
        <v>671</v>
      </c>
      <c r="M123">
        <v>0</v>
      </c>
      <c r="N123">
        <v>0</v>
      </c>
      <c r="O123">
        <v>344</v>
      </c>
      <c r="P123">
        <v>259</v>
      </c>
      <c r="Q123">
        <v>70</v>
      </c>
      <c r="R123">
        <v>-12</v>
      </c>
      <c r="S123">
        <v>-12</v>
      </c>
      <c r="T123">
        <v>22</v>
      </c>
      <c r="V123" s="567"/>
    </row>
    <row r="124" spans="1:22" x14ac:dyDescent="0.35">
      <c r="B124" s="563" t="s">
        <v>504</v>
      </c>
      <c r="C124" s="564">
        <v>73399</v>
      </c>
      <c r="D124" s="564">
        <v>73534</v>
      </c>
      <c r="E124" s="564">
        <v>73791</v>
      </c>
      <c r="F124" s="564">
        <v>71315</v>
      </c>
      <c r="G124" s="564">
        <v>72909</v>
      </c>
      <c r="H124" s="564">
        <v>74542</v>
      </c>
      <c r="I124" s="564">
        <v>74117</v>
      </c>
      <c r="J124" s="564">
        <v>74098</v>
      </c>
      <c r="K124" s="565">
        <v>74319</v>
      </c>
      <c r="L124" s="563"/>
      <c r="M124" s="563">
        <v>135</v>
      </c>
      <c r="N124" s="563">
        <v>257</v>
      </c>
      <c r="O124" s="564">
        <v>-2476</v>
      </c>
      <c r="P124" s="564">
        <v>1594</v>
      </c>
      <c r="Q124" s="564">
        <v>1633</v>
      </c>
      <c r="R124" s="563">
        <v>-425</v>
      </c>
      <c r="S124" s="563">
        <v>-19</v>
      </c>
      <c r="T124" s="563">
        <v>221</v>
      </c>
      <c r="U124" s="563"/>
      <c r="V124" s="56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67977-509F-4BE6-B5CD-7E5311BC24C7}">
  <dimension ref="A1:AE132"/>
  <sheetViews>
    <sheetView topLeftCell="A100" zoomScale="75" zoomScaleNormal="75" workbookViewId="0">
      <selection activeCell="H131" sqref="H131"/>
    </sheetView>
  </sheetViews>
  <sheetFormatPr defaultRowHeight="14.5" x14ac:dyDescent="0.35"/>
  <cols>
    <col min="1" max="1" width="10.81640625" bestFit="1" customWidth="1"/>
    <col min="7" max="7" width="34.453125" customWidth="1"/>
    <col min="8" max="8" width="25.81640625" customWidth="1"/>
    <col min="9" max="9" width="17.81640625" customWidth="1"/>
    <col min="10" max="10" width="7" customWidth="1"/>
    <col min="11" max="11" width="7.1796875" customWidth="1"/>
    <col min="12" max="12" width="10.81640625" customWidth="1"/>
    <col min="13" max="13" width="6.81640625" customWidth="1"/>
    <col min="15" max="15" width="11.54296875" bestFit="1" customWidth="1"/>
    <col min="16" max="16" width="9.1796875" style="427"/>
    <col min="18" max="18" width="21.36328125" customWidth="1"/>
    <col min="19" max="19" width="10.81640625" style="427" customWidth="1"/>
    <col min="23" max="23" width="11.54296875" bestFit="1" customWidth="1"/>
    <col min="24" max="24" width="17.90625" customWidth="1"/>
    <col min="27" max="27" width="12.7265625" customWidth="1"/>
    <col min="35" max="35" width="14.453125" customWidth="1"/>
  </cols>
  <sheetData>
    <row r="1" spans="1:31" x14ac:dyDescent="0.35">
      <c r="A1" s="426" t="s">
        <v>811</v>
      </c>
    </row>
    <row r="2" spans="1:31" ht="15" thickBot="1" x14ac:dyDescent="0.4">
      <c r="C2" t="s">
        <v>391</v>
      </c>
      <c r="D2" t="s">
        <v>143</v>
      </c>
      <c r="E2" t="s">
        <v>392</v>
      </c>
      <c r="F2" t="s">
        <v>143</v>
      </c>
      <c r="G2" t="s">
        <v>393</v>
      </c>
      <c r="H2" t="s">
        <v>143</v>
      </c>
    </row>
    <row r="3" spans="1:31" s="244" customFormat="1" x14ac:dyDescent="0.35">
      <c r="C3" s="241">
        <v>1</v>
      </c>
      <c r="D3" s="242">
        <f>C3+1</f>
        <v>2</v>
      </c>
      <c r="E3" s="242">
        <f t="shared" ref="E3:W3" si="0">D3+1</f>
        <v>3</v>
      </c>
      <c r="F3" s="242">
        <f t="shared" si="0"/>
        <v>4</v>
      </c>
      <c r="G3" s="242">
        <f>F3+1</f>
        <v>5</v>
      </c>
      <c r="H3" s="242">
        <f t="shared" si="0"/>
        <v>6</v>
      </c>
      <c r="I3" s="242">
        <f t="shared" si="0"/>
        <v>7</v>
      </c>
      <c r="J3" s="242">
        <f>I3+1</f>
        <v>8</v>
      </c>
      <c r="K3" s="242">
        <f t="shared" si="0"/>
        <v>9</v>
      </c>
      <c r="L3" s="242">
        <f t="shared" si="0"/>
        <v>10</v>
      </c>
      <c r="M3" s="242">
        <f t="shared" si="0"/>
        <v>11</v>
      </c>
      <c r="N3" s="242">
        <f t="shared" si="0"/>
        <v>12</v>
      </c>
      <c r="O3" s="242">
        <f t="shared" si="0"/>
        <v>13</v>
      </c>
      <c r="P3" s="428">
        <f t="shared" si="0"/>
        <v>14</v>
      </c>
      <c r="Q3" s="242">
        <f t="shared" si="0"/>
        <v>15</v>
      </c>
      <c r="R3" s="242">
        <f t="shared" si="0"/>
        <v>16</v>
      </c>
      <c r="S3" s="428">
        <f t="shared" si="0"/>
        <v>17</v>
      </c>
      <c r="T3" s="242">
        <f t="shared" si="0"/>
        <v>18</v>
      </c>
      <c r="U3" s="242">
        <f t="shared" si="0"/>
        <v>19</v>
      </c>
      <c r="V3" s="242">
        <f>U3+1</f>
        <v>20</v>
      </c>
      <c r="W3" s="242">
        <f t="shared" si="0"/>
        <v>21</v>
      </c>
      <c r="X3" s="243">
        <f>W3+1</f>
        <v>22</v>
      </c>
    </row>
    <row r="4" spans="1:31" s="248" customFormat="1" ht="44" thickBot="1" x14ac:dyDescent="0.4">
      <c r="C4" s="245" t="s">
        <v>144</v>
      </c>
      <c r="D4" s="246" t="s">
        <v>145</v>
      </c>
      <c r="E4" s="246" t="s">
        <v>146</v>
      </c>
      <c r="F4" s="246" t="s">
        <v>147</v>
      </c>
      <c r="G4" s="246" t="s">
        <v>148</v>
      </c>
      <c r="H4" s="246" t="s">
        <v>149</v>
      </c>
      <c r="I4" s="246" t="s">
        <v>150</v>
      </c>
      <c r="J4" s="246" t="s">
        <v>151</v>
      </c>
      <c r="K4" s="246" t="s">
        <v>152</v>
      </c>
      <c r="L4" s="246" t="s">
        <v>153</v>
      </c>
      <c r="M4" s="246" t="s">
        <v>154</v>
      </c>
      <c r="N4" s="246" t="s">
        <v>155</v>
      </c>
      <c r="O4" s="246" t="s">
        <v>156</v>
      </c>
      <c r="P4" s="429" t="s">
        <v>157</v>
      </c>
      <c r="Q4" s="246" t="s">
        <v>158</v>
      </c>
      <c r="R4" s="246" t="s">
        <v>159</v>
      </c>
      <c r="S4" s="429" t="s">
        <v>160</v>
      </c>
      <c r="T4" s="246" t="s">
        <v>161</v>
      </c>
      <c r="U4" s="246" t="s">
        <v>162</v>
      </c>
      <c r="V4" s="246" t="s">
        <v>163</v>
      </c>
      <c r="W4" s="246" t="s">
        <v>164</v>
      </c>
      <c r="X4" s="247" t="s">
        <v>165</v>
      </c>
    </row>
    <row r="5" spans="1:31" ht="15" customHeight="1" x14ac:dyDescent="0.35"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 t="s">
        <v>156</v>
      </c>
      <c r="P5" s="427" t="s">
        <v>157</v>
      </c>
      <c r="Q5" t="s">
        <v>158</v>
      </c>
      <c r="R5" t="s">
        <v>159</v>
      </c>
      <c r="S5" s="427" t="s">
        <v>160</v>
      </c>
      <c r="T5" t="s">
        <v>161</v>
      </c>
      <c r="U5" t="s">
        <v>162</v>
      </c>
      <c r="V5" t="s">
        <v>163</v>
      </c>
      <c r="W5" t="s">
        <v>164</v>
      </c>
      <c r="X5" t="s">
        <v>165</v>
      </c>
    </row>
    <row r="6" spans="1:31" ht="15" customHeight="1" x14ac:dyDescent="0.35">
      <c r="C6">
        <v>1</v>
      </c>
      <c r="D6">
        <v>1</v>
      </c>
      <c r="E6">
        <v>7</v>
      </c>
      <c r="F6">
        <v>1</v>
      </c>
      <c r="G6" t="s">
        <v>134</v>
      </c>
      <c r="H6" t="s">
        <v>166</v>
      </c>
      <c r="I6" t="s">
        <v>167</v>
      </c>
      <c r="J6">
        <v>5</v>
      </c>
      <c r="K6">
        <v>53</v>
      </c>
      <c r="L6" s="249" t="s">
        <v>168</v>
      </c>
      <c r="M6" s="249">
        <v>1927</v>
      </c>
      <c r="N6">
        <v>35</v>
      </c>
      <c r="O6" s="249">
        <v>314814</v>
      </c>
      <c r="P6" s="430">
        <v>1896</v>
      </c>
      <c r="Q6">
        <v>0</v>
      </c>
      <c r="R6">
        <v>0</v>
      </c>
      <c r="S6" s="427">
        <v>0</v>
      </c>
      <c r="T6" s="249">
        <v>0</v>
      </c>
      <c r="U6">
        <v>0</v>
      </c>
      <c r="V6" s="249">
        <v>0</v>
      </c>
      <c r="W6" s="249">
        <v>314814</v>
      </c>
      <c r="X6">
        <v>83</v>
      </c>
      <c r="Y6" s="249"/>
      <c r="Z6" s="249"/>
      <c r="AD6" s="249"/>
      <c r="AE6" s="249"/>
    </row>
    <row r="7" spans="1:31" ht="15" customHeight="1" x14ac:dyDescent="0.35">
      <c r="C7">
        <v>2</v>
      </c>
      <c r="D7">
        <v>2</v>
      </c>
      <c r="E7">
        <v>4</v>
      </c>
      <c r="F7">
        <v>1</v>
      </c>
      <c r="G7" s="573" t="s">
        <v>169</v>
      </c>
      <c r="H7" s="573" t="s">
        <v>170</v>
      </c>
      <c r="I7" s="573" t="s">
        <v>167</v>
      </c>
      <c r="J7" s="573">
        <v>5</v>
      </c>
      <c r="K7" s="573">
        <v>20</v>
      </c>
      <c r="L7" s="574" t="s">
        <v>171</v>
      </c>
      <c r="M7" s="573">
        <v>1965</v>
      </c>
      <c r="N7" s="573">
        <v>13</v>
      </c>
      <c r="O7" s="574">
        <v>108643</v>
      </c>
      <c r="P7" s="573">
        <v>906</v>
      </c>
      <c r="Q7" s="573">
        <v>3</v>
      </c>
      <c r="R7" s="573">
        <v>2364</v>
      </c>
      <c r="S7" s="575">
        <v>0</v>
      </c>
      <c r="T7" s="574">
        <v>0</v>
      </c>
      <c r="U7" s="573">
        <v>0</v>
      </c>
      <c r="V7" s="574">
        <v>0</v>
      </c>
      <c r="W7" s="574">
        <v>111007</v>
      </c>
      <c r="X7" s="575">
        <v>48</v>
      </c>
      <c r="Y7" s="249"/>
      <c r="Z7" s="249"/>
      <c r="AD7" s="249"/>
      <c r="AE7" s="249"/>
    </row>
    <row r="8" spans="1:31" ht="15" customHeight="1" x14ac:dyDescent="0.35">
      <c r="C8">
        <v>3</v>
      </c>
      <c r="D8">
        <v>3</v>
      </c>
      <c r="E8">
        <v>5</v>
      </c>
      <c r="F8">
        <v>1</v>
      </c>
      <c r="G8" t="s">
        <v>172</v>
      </c>
      <c r="H8" t="s">
        <v>173</v>
      </c>
      <c r="I8" t="s">
        <v>167</v>
      </c>
      <c r="J8">
        <v>5</v>
      </c>
      <c r="K8">
        <v>20</v>
      </c>
      <c r="L8" s="249" t="s">
        <v>174</v>
      </c>
      <c r="M8">
        <v>1965</v>
      </c>
      <c r="N8">
        <v>3</v>
      </c>
      <c r="O8" s="249">
        <v>111644</v>
      </c>
      <c r="P8" s="427">
        <v>868</v>
      </c>
      <c r="Q8">
        <v>0</v>
      </c>
      <c r="R8">
        <v>0</v>
      </c>
      <c r="S8" s="427">
        <v>0</v>
      </c>
      <c r="T8" s="249">
        <v>0</v>
      </c>
      <c r="U8">
        <v>0</v>
      </c>
      <c r="V8" s="249">
        <v>0</v>
      </c>
      <c r="W8" s="249">
        <v>111644</v>
      </c>
      <c r="X8">
        <v>39</v>
      </c>
      <c r="Y8" s="249"/>
      <c r="Z8" s="249"/>
      <c r="AD8" s="249"/>
      <c r="AE8" s="249"/>
    </row>
    <row r="9" spans="1:31" ht="15" customHeight="1" x14ac:dyDescent="0.35">
      <c r="C9">
        <v>4</v>
      </c>
      <c r="D9">
        <v>4</v>
      </c>
      <c r="E9">
        <v>4</v>
      </c>
      <c r="F9">
        <v>1</v>
      </c>
      <c r="G9" t="s">
        <v>175</v>
      </c>
      <c r="H9" t="s">
        <v>176</v>
      </c>
      <c r="I9" t="s">
        <v>167</v>
      </c>
      <c r="J9">
        <v>5</v>
      </c>
      <c r="K9">
        <v>15</v>
      </c>
      <c r="L9" s="249" t="s">
        <v>171</v>
      </c>
      <c r="M9">
        <v>1965</v>
      </c>
      <c r="N9">
        <v>7</v>
      </c>
      <c r="O9" s="249">
        <v>99612</v>
      </c>
      <c r="P9" s="427">
        <v>902</v>
      </c>
      <c r="Q9">
        <v>0</v>
      </c>
      <c r="R9">
        <v>0</v>
      </c>
      <c r="S9" s="427">
        <v>0</v>
      </c>
      <c r="T9" s="249">
        <v>0</v>
      </c>
      <c r="U9">
        <v>0</v>
      </c>
      <c r="V9" s="249">
        <v>0</v>
      </c>
      <c r="W9" s="249">
        <v>99612</v>
      </c>
      <c r="X9">
        <v>48</v>
      </c>
      <c r="Y9" s="249"/>
      <c r="Z9" s="249"/>
      <c r="AD9" s="249"/>
      <c r="AE9" s="249"/>
    </row>
    <row r="10" spans="1:31" ht="15" customHeight="1" x14ac:dyDescent="0.35">
      <c r="C10">
        <v>5</v>
      </c>
      <c r="D10">
        <v>5</v>
      </c>
      <c r="E10">
        <v>14</v>
      </c>
      <c r="F10">
        <v>6</v>
      </c>
      <c r="G10" t="s">
        <v>136</v>
      </c>
      <c r="H10" t="s">
        <v>177</v>
      </c>
      <c r="I10" t="s">
        <v>167</v>
      </c>
      <c r="J10">
        <v>5</v>
      </c>
      <c r="K10">
        <v>14</v>
      </c>
      <c r="L10" s="249" t="s">
        <v>264</v>
      </c>
      <c r="M10">
        <v>1965</v>
      </c>
      <c r="N10">
        <v>4</v>
      </c>
      <c r="O10" s="249">
        <v>68159</v>
      </c>
      <c r="P10" s="427">
        <v>547</v>
      </c>
      <c r="Q10">
        <v>0</v>
      </c>
      <c r="R10">
        <v>0</v>
      </c>
      <c r="S10" s="427">
        <v>0</v>
      </c>
      <c r="T10" s="249">
        <v>0</v>
      </c>
      <c r="U10">
        <v>0</v>
      </c>
      <c r="V10" s="249">
        <v>0</v>
      </c>
      <c r="W10" s="249">
        <v>68159</v>
      </c>
      <c r="X10">
        <v>23</v>
      </c>
      <c r="Y10" s="249"/>
      <c r="Z10" s="249"/>
      <c r="AD10" s="249"/>
      <c r="AE10" s="249"/>
    </row>
    <row r="11" spans="1:31" ht="15" customHeight="1" x14ac:dyDescent="0.35">
      <c r="C11">
        <v>6</v>
      </c>
      <c r="D11">
        <v>6</v>
      </c>
      <c r="E11">
        <v>4</v>
      </c>
      <c r="F11">
        <v>1</v>
      </c>
      <c r="G11" t="s">
        <v>178</v>
      </c>
      <c r="H11" t="s">
        <v>179</v>
      </c>
      <c r="I11" t="s">
        <v>167</v>
      </c>
      <c r="J11">
        <v>5</v>
      </c>
      <c r="K11">
        <v>12</v>
      </c>
      <c r="L11" s="249" t="s">
        <v>171</v>
      </c>
      <c r="M11">
        <v>1959</v>
      </c>
      <c r="N11">
        <v>16</v>
      </c>
      <c r="O11" s="249">
        <v>79507</v>
      </c>
      <c r="P11" s="427">
        <v>645</v>
      </c>
      <c r="Q11">
        <v>3</v>
      </c>
      <c r="R11">
        <v>2364</v>
      </c>
      <c r="S11" s="427">
        <v>66</v>
      </c>
      <c r="T11" s="249">
        <v>0</v>
      </c>
      <c r="U11">
        <v>0</v>
      </c>
      <c r="V11" s="249">
        <v>0</v>
      </c>
      <c r="W11" s="249">
        <v>81871</v>
      </c>
      <c r="X11">
        <v>37</v>
      </c>
      <c r="Y11" s="249"/>
      <c r="Z11" s="249"/>
      <c r="AD11" s="249"/>
      <c r="AE11" s="249"/>
    </row>
    <row r="12" spans="1:31" ht="15" customHeight="1" x14ac:dyDescent="0.35">
      <c r="C12">
        <v>7</v>
      </c>
      <c r="D12">
        <v>7</v>
      </c>
      <c r="E12">
        <v>4</v>
      </c>
      <c r="F12">
        <v>1</v>
      </c>
      <c r="G12" t="s">
        <v>180</v>
      </c>
      <c r="H12" t="s">
        <v>181</v>
      </c>
      <c r="I12" t="s">
        <v>124</v>
      </c>
      <c r="J12">
        <v>5</v>
      </c>
      <c r="K12">
        <v>13</v>
      </c>
      <c r="L12" s="249" t="s">
        <v>171</v>
      </c>
      <c r="M12">
        <v>1913</v>
      </c>
      <c r="N12">
        <v>13</v>
      </c>
      <c r="O12" s="249">
        <v>100012</v>
      </c>
      <c r="P12" s="427">
        <v>725</v>
      </c>
      <c r="Q12">
        <v>0</v>
      </c>
      <c r="R12">
        <v>0</v>
      </c>
      <c r="S12" s="427">
        <v>0</v>
      </c>
      <c r="T12" s="249">
        <v>0</v>
      </c>
      <c r="U12">
        <v>0</v>
      </c>
      <c r="V12" s="249">
        <v>0</v>
      </c>
      <c r="W12" s="249">
        <v>100012</v>
      </c>
      <c r="X12">
        <v>38</v>
      </c>
      <c r="Y12" s="249"/>
      <c r="Z12" s="249"/>
      <c r="AD12" s="249"/>
      <c r="AE12" s="249"/>
    </row>
    <row r="13" spans="1:31" ht="15" customHeight="1" x14ac:dyDescent="0.35">
      <c r="C13">
        <v>8</v>
      </c>
      <c r="D13">
        <v>8</v>
      </c>
      <c r="E13">
        <v>1</v>
      </c>
      <c r="F13">
        <v>7</v>
      </c>
      <c r="G13" t="s">
        <v>182</v>
      </c>
      <c r="H13" t="s">
        <v>183</v>
      </c>
      <c r="I13" t="s">
        <v>124</v>
      </c>
      <c r="J13">
        <v>5</v>
      </c>
      <c r="K13">
        <v>12</v>
      </c>
      <c r="L13" s="249" t="s">
        <v>264</v>
      </c>
      <c r="M13">
        <v>1970</v>
      </c>
      <c r="N13">
        <v>1</v>
      </c>
      <c r="O13" s="249">
        <v>16777</v>
      </c>
      <c r="P13" s="427">
        <v>98</v>
      </c>
      <c r="Q13">
        <v>0</v>
      </c>
      <c r="R13">
        <v>0</v>
      </c>
      <c r="S13" s="427">
        <v>0</v>
      </c>
      <c r="T13" s="249">
        <v>0</v>
      </c>
      <c r="U13">
        <v>0</v>
      </c>
      <c r="V13" s="249">
        <v>0</v>
      </c>
      <c r="W13" s="249">
        <v>16777</v>
      </c>
      <c r="X13">
        <v>11</v>
      </c>
      <c r="Y13" s="249"/>
      <c r="Z13" s="249"/>
      <c r="AD13" s="249"/>
      <c r="AE13" s="249"/>
    </row>
    <row r="14" spans="1:31" ht="15" customHeight="1" x14ac:dyDescent="0.35">
      <c r="C14">
        <v>9</v>
      </c>
      <c r="D14">
        <v>9</v>
      </c>
      <c r="E14">
        <v>4</v>
      </c>
      <c r="F14">
        <v>1</v>
      </c>
      <c r="G14" t="s">
        <v>184</v>
      </c>
      <c r="H14" t="s">
        <v>185</v>
      </c>
      <c r="I14" t="s">
        <v>167</v>
      </c>
      <c r="J14">
        <v>5</v>
      </c>
      <c r="K14">
        <v>11</v>
      </c>
      <c r="L14" s="249" t="s">
        <v>191</v>
      </c>
      <c r="M14">
        <v>1962</v>
      </c>
      <c r="N14">
        <v>7</v>
      </c>
      <c r="O14" s="249">
        <v>78431</v>
      </c>
      <c r="P14" s="427">
        <v>639</v>
      </c>
      <c r="Q14">
        <v>0</v>
      </c>
      <c r="R14">
        <v>0</v>
      </c>
      <c r="S14" s="427">
        <v>0</v>
      </c>
      <c r="T14" s="249">
        <v>0</v>
      </c>
      <c r="U14">
        <v>0</v>
      </c>
      <c r="V14" s="249">
        <v>0</v>
      </c>
      <c r="W14" s="249">
        <v>78431</v>
      </c>
      <c r="X14">
        <v>33</v>
      </c>
      <c r="Y14" s="249"/>
      <c r="Z14" s="249"/>
      <c r="AD14" s="249"/>
      <c r="AE14" s="249"/>
    </row>
    <row r="15" spans="1:31" ht="15" customHeight="1" x14ac:dyDescent="0.35">
      <c r="C15">
        <v>10</v>
      </c>
      <c r="D15">
        <v>10</v>
      </c>
      <c r="E15">
        <v>5</v>
      </c>
      <c r="F15">
        <v>1</v>
      </c>
      <c r="G15" t="s">
        <v>187</v>
      </c>
      <c r="H15" t="s">
        <v>188</v>
      </c>
      <c r="I15" t="s">
        <v>167</v>
      </c>
      <c r="J15">
        <v>5</v>
      </c>
      <c r="K15">
        <v>27</v>
      </c>
      <c r="L15" s="249" t="s">
        <v>174</v>
      </c>
      <c r="M15">
        <v>1964</v>
      </c>
      <c r="N15">
        <v>3</v>
      </c>
      <c r="O15" s="249">
        <v>107592</v>
      </c>
      <c r="P15" s="427">
        <v>733</v>
      </c>
      <c r="Q15">
        <v>0</v>
      </c>
      <c r="R15">
        <v>1645</v>
      </c>
      <c r="S15" s="427">
        <v>0</v>
      </c>
      <c r="T15" s="249">
        <v>0</v>
      </c>
      <c r="U15">
        <v>0</v>
      </c>
      <c r="V15" s="249">
        <v>0</v>
      </c>
      <c r="W15" s="249">
        <v>109237</v>
      </c>
      <c r="X15">
        <v>32</v>
      </c>
      <c r="Y15" s="249"/>
      <c r="Z15" s="249"/>
      <c r="AD15" s="249"/>
      <c r="AE15" s="249"/>
    </row>
    <row r="16" spans="1:31" ht="15" customHeight="1" x14ac:dyDescent="0.35">
      <c r="C16">
        <v>11</v>
      </c>
      <c r="D16">
        <v>11</v>
      </c>
      <c r="E16">
        <v>4</v>
      </c>
      <c r="F16">
        <v>1</v>
      </c>
      <c r="G16" t="s">
        <v>189</v>
      </c>
      <c r="H16" t="s">
        <v>190</v>
      </c>
      <c r="I16" t="s">
        <v>167</v>
      </c>
      <c r="J16">
        <v>5</v>
      </c>
      <c r="K16">
        <v>15</v>
      </c>
      <c r="L16" s="249" t="s">
        <v>171</v>
      </c>
      <c r="M16">
        <v>1967</v>
      </c>
      <c r="N16">
        <v>13</v>
      </c>
      <c r="O16" s="249">
        <v>118875</v>
      </c>
      <c r="P16" s="427">
        <v>729</v>
      </c>
      <c r="Q16">
        <v>0</v>
      </c>
      <c r="R16">
        <v>0</v>
      </c>
      <c r="S16" s="427">
        <v>0</v>
      </c>
      <c r="T16" s="249">
        <v>0</v>
      </c>
      <c r="U16">
        <v>0</v>
      </c>
      <c r="V16" s="249">
        <v>0</v>
      </c>
      <c r="W16" s="249">
        <v>118875</v>
      </c>
      <c r="X16">
        <v>38</v>
      </c>
      <c r="Y16" s="249"/>
      <c r="Z16" s="249"/>
      <c r="AD16" s="249"/>
      <c r="AE16" s="249"/>
    </row>
    <row r="17" spans="3:31" ht="15" customHeight="1" x14ac:dyDescent="0.35">
      <c r="C17">
        <v>12</v>
      </c>
      <c r="D17">
        <v>12</v>
      </c>
      <c r="E17">
        <v>7</v>
      </c>
      <c r="F17">
        <v>1</v>
      </c>
      <c r="G17" t="s">
        <v>192</v>
      </c>
      <c r="H17" t="s">
        <v>193</v>
      </c>
      <c r="I17" t="s">
        <v>167</v>
      </c>
      <c r="J17">
        <v>5</v>
      </c>
      <c r="K17">
        <v>39</v>
      </c>
      <c r="L17" s="249" t="s">
        <v>168</v>
      </c>
      <c r="M17" s="249">
        <v>1970</v>
      </c>
      <c r="N17">
        <v>10</v>
      </c>
      <c r="O17" s="249">
        <v>243470</v>
      </c>
      <c r="P17" s="430">
        <v>1527</v>
      </c>
      <c r="Q17">
        <v>4</v>
      </c>
      <c r="R17">
        <v>2660</v>
      </c>
      <c r="S17" s="427">
        <v>0</v>
      </c>
      <c r="T17" s="249">
        <v>0</v>
      </c>
      <c r="U17">
        <v>0</v>
      </c>
      <c r="V17" s="249">
        <v>0</v>
      </c>
      <c r="W17" s="249">
        <v>246130</v>
      </c>
      <c r="X17">
        <v>67</v>
      </c>
      <c r="Y17" s="249"/>
      <c r="Z17" s="249"/>
      <c r="AD17" s="249"/>
      <c r="AE17" s="249"/>
    </row>
    <row r="18" spans="3:31" ht="15" customHeight="1" x14ac:dyDescent="0.35">
      <c r="C18">
        <v>13</v>
      </c>
      <c r="D18">
        <v>13</v>
      </c>
      <c r="E18">
        <v>4</v>
      </c>
      <c r="F18">
        <v>1</v>
      </c>
      <c r="G18" t="s">
        <v>194</v>
      </c>
      <c r="H18" t="s">
        <v>195</v>
      </c>
      <c r="I18" t="s">
        <v>124</v>
      </c>
      <c r="J18">
        <v>5</v>
      </c>
      <c r="K18">
        <v>16</v>
      </c>
      <c r="L18" s="249" t="s">
        <v>171</v>
      </c>
      <c r="M18">
        <v>1968</v>
      </c>
      <c r="N18">
        <v>7</v>
      </c>
      <c r="O18" s="249">
        <v>73808</v>
      </c>
      <c r="P18" s="427">
        <v>485</v>
      </c>
      <c r="Q18">
        <v>6</v>
      </c>
      <c r="R18">
        <v>4728</v>
      </c>
      <c r="S18" s="427">
        <v>128</v>
      </c>
      <c r="T18" s="249">
        <v>0</v>
      </c>
      <c r="U18">
        <v>0</v>
      </c>
      <c r="V18" s="249">
        <v>0</v>
      </c>
      <c r="W18" s="249">
        <v>78536</v>
      </c>
      <c r="X18">
        <v>31</v>
      </c>
      <c r="Y18" s="249"/>
      <c r="Z18" s="249"/>
      <c r="AD18" s="249"/>
      <c r="AE18" s="249"/>
    </row>
    <row r="19" spans="3:31" ht="15" customHeight="1" x14ac:dyDescent="0.35">
      <c r="C19">
        <v>14</v>
      </c>
      <c r="D19">
        <v>14</v>
      </c>
      <c r="E19">
        <v>4</v>
      </c>
      <c r="F19">
        <v>1</v>
      </c>
      <c r="G19" t="s">
        <v>196</v>
      </c>
      <c r="H19" t="s">
        <v>197</v>
      </c>
      <c r="I19" t="s">
        <v>198</v>
      </c>
      <c r="J19">
        <v>5</v>
      </c>
      <c r="K19">
        <v>19</v>
      </c>
      <c r="L19" s="249" t="s">
        <v>171</v>
      </c>
      <c r="M19">
        <v>1984</v>
      </c>
      <c r="N19">
        <v>8</v>
      </c>
      <c r="O19" s="249">
        <v>107833</v>
      </c>
      <c r="P19" s="427">
        <v>551</v>
      </c>
      <c r="Q19">
        <v>1</v>
      </c>
      <c r="R19">
        <v>788</v>
      </c>
      <c r="S19" s="427">
        <v>22</v>
      </c>
      <c r="T19" s="249">
        <v>0</v>
      </c>
      <c r="U19">
        <v>0</v>
      </c>
      <c r="V19" s="249">
        <v>0</v>
      </c>
      <c r="W19" s="249">
        <v>108621</v>
      </c>
      <c r="X19">
        <v>30</v>
      </c>
      <c r="Y19" s="249"/>
      <c r="Z19" s="249"/>
      <c r="AD19" s="249"/>
      <c r="AE19" s="249"/>
    </row>
    <row r="20" spans="3:31" ht="15" customHeight="1" x14ac:dyDescent="0.35">
      <c r="C20">
        <v>15</v>
      </c>
      <c r="D20">
        <v>15</v>
      </c>
      <c r="E20">
        <v>4</v>
      </c>
      <c r="F20">
        <v>1</v>
      </c>
      <c r="G20" t="s">
        <v>199</v>
      </c>
      <c r="H20" t="s">
        <v>200</v>
      </c>
      <c r="I20" t="s">
        <v>198</v>
      </c>
      <c r="J20">
        <v>5</v>
      </c>
      <c r="K20">
        <v>16</v>
      </c>
      <c r="L20" s="249" t="s">
        <v>171</v>
      </c>
      <c r="M20">
        <v>1988</v>
      </c>
      <c r="N20">
        <v>9</v>
      </c>
      <c r="O20" s="249">
        <v>117508</v>
      </c>
      <c r="P20" s="427">
        <v>703</v>
      </c>
      <c r="Q20">
        <v>2</v>
      </c>
      <c r="R20">
        <v>1576</v>
      </c>
      <c r="S20" s="427">
        <v>36</v>
      </c>
      <c r="T20" s="249">
        <v>0</v>
      </c>
      <c r="U20">
        <v>0</v>
      </c>
      <c r="V20" s="249">
        <v>0</v>
      </c>
      <c r="W20" s="249">
        <v>119084</v>
      </c>
      <c r="X20">
        <v>39</v>
      </c>
      <c r="Y20" s="249"/>
      <c r="Z20" s="249"/>
      <c r="AD20" s="249"/>
      <c r="AE20" s="249"/>
    </row>
    <row r="21" spans="3:31" ht="15" customHeight="1" x14ac:dyDescent="0.35">
      <c r="C21">
        <v>16</v>
      </c>
      <c r="D21">
        <v>17</v>
      </c>
      <c r="E21">
        <v>7</v>
      </c>
      <c r="F21">
        <v>1</v>
      </c>
      <c r="G21" t="s">
        <v>201</v>
      </c>
      <c r="H21" t="s">
        <v>202</v>
      </c>
      <c r="I21" t="s">
        <v>203</v>
      </c>
      <c r="J21">
        <v>5</v>
      </c>
      <c r="K21">
        <v>45</v>
      </c>
      <c r="L21" s="249" t="s">
        <v>168</v>
      </c>
      <c r="M21" s="249">
        <v>1952</v>
      </c>
      <c r="N21">
        <v>23</v>
      </c>
      <c r="O21" s="249">
        <v>257124</v>
      </c>
      <c r="P21" s="430">
        <v>1858</v>
      </c>
      <c r="Q21">
        <v>3</v>
      </c>
      <c r="R21">
        <v>2049</v>
      </c>
      <c r="S21" s="427">
        <v>75</v>
      </c>
      <c r="T21" s="249">
        <v>0</v>
      </c>
      <c r="U21">
        <v>0</v>
      </c>
      <c r="V21" s="249">
        <v>0</v>
      </c>
      <c r="W21" s="249">
        <v>259173</v>
      </c>
      <c r="X21">
        <v>82</v>
      </c>
      <c r="Y21" s="249"/>
      <c r="Z21" s="249"/>
      <c r="AD21" s="249"/>
      <c r="AE21" s="249"/>
    </row>
    <row r="22" spans="3:31" ht="15" customHeight="1" x14ac:dyDescent="0.35">
      <c r="C22">
        <v>17</v>
      </c>
      <c r="D22">
        <v>20</v>
      </c>
      <c r="E22">
        <v>1</v>
      </c>
      <c r="F22">
        <v>1</v>
      </c>
      <c r="G22" t="s">
        <v>204</v>
      </c>
      <c r="H22" t="s">
        <v>205</v>
      </c>
      <c r="I22" t="s">
        <v>198</v>
      </c>
      <c r="J22">
        <v>5</v>
      </c>
      <c r="K22">
        <v>40</v>
      </c>
      <c r="L22" s="249" t="s">
        <v>186</v>
      </c>
      <c r="M22">
        <v>1958</v>
      </c>
      <c r="N22">
        <v>14</v>
      </c>
      <c r="O22" s="249">
        <v>111758</v>
      </c>
      <c r="P22" s="427">
        <v>848</v>
      </c>
      <c r="Q22">
        <v>0</v>
      </c>
      <c r="R22">
        <v>0</v>
      </c>
      <c r="S22" s="427">
        <v>0</v>
      </c>
      <c r="T22" s="249">
        <v>0</v>
      </c>
      <c r="U22">
        <v>0</v>
      </c>
      <c r="V22" s="249">
        <v>0</v>
      </c>
      <c r="W22" s="249">
        <v>111758</v>
      </c>
      <c r="X22">
        <v>38</v>
      </c>
      <c r="Y22" s="249"/>
      <c r="Z22" s="249"/>
      <c r="AD22" s="249"/>
      <c r="AE22" s="249"/>
    </row>
    <row r="23" spans="3:31" ht="15" customHeight="1" x14ac:dyDescent="0.35">
      <c r="C23">
        <v>18</v>
      </c>
      <c r="D23">
        <v>21</v>
      </c>
      <c r="E23">
        <v>4</v>
      </c>
      <c r="F23">
        <v>1</v>
      </c>
      <c r="G23" t="s">
        <v>206</v>
      </c>
      <c r="H23" t="s">
        <v>207</v>
      </c>
      <c r="I23" t="s">
        <v>198</v>
      </c>
      <c r="J23">
        <v>5</v>
      </c>
      <c r="K23">
        <v>16</v>
      </c>
      <c r="L23" s="249" t="s">
        <v>171</v>
      </c>
      <c r="M23">
        <v>1959</v>
      </c>
      <c r="N23">
        <v>15</v>
      </c>
      <c r="O23" s="249">
        <v>84954</v>
      </c>
      <c r="P23" s="427">
        <v>649</v>
      </c>
      <c r="Q23">
        <v>7</v>
      </c>
      <c r="R23">
        <v>5492</v>
      </c>
      <c r="S23" s="427">
        <v>138</v>
      </c>
      <c r="T23" s="249">
        <v>0</v>
      </c>
      <c r="U23">
        <v>0</v>
      </c>
      <c r="V23" s="249">
        <v>0</v>
      </c>
      <c r="W23" s="249">
        <v>90446</v>
      </c>
      <c r="X23">
        <v>41</v>
      </c>
      <c r="Y23" s="249"/>
      <c r="Z23" s="249"/>
      <c r="AD23" s="249"/>
      <c r="AE23" s="249"/>
    </row>
    <row r="24" spans="3:31" ht="15" customHeight="1" x14ac:dyDescent="0.35">
      <c r="C24">
        <v>19</v>
      </c>
      <c r="D24">
        <v>22</v>
      </c>
      <c r="E24">
        <v>4</v>
      </c>
      <c r="F24">
        <v>1</v>
      </c>
      <c r="G24" t="s">
        <v>208</v>
      </c>
      <c r="H24" t="s">
        <v>209</v>
      </c>
      <c r="I24" t="s">
        <v>198</v>
      </c>
      <c r="J24">
        <v>5</v>
      </c>
      <c r="K24">
        <v>17</v>
      </c>
      <c r="L24" s="249" t="s">
        <v>171</v>
      </c>
      <c r="M24">
        <v>1960</v>
      </c>
      <c r="N24">
        <v>12</v>
      </c>
      <c r="O24" s="249">
        <v>101814</v>
      </c>
      <c r="P24" s="427">
        <v>830</v>
      </c>
      <c r="Q24">
        <v>10</v>
      </c>
      <c r="R24">
        <v>7712</v>
      </c>
      <c r="S24" s="427">
        <v>138</v>
      </c>
      <c r="T24" s="249">
        <v>0</v>
      </c>
      <c r="U24">
        <v>0</v>
      </c>
      <c r="V24" s="249">
        <v>0</v>
      </c>
      <c r="W24" s="249">
        <v>109526</v>
      </c>
      <c r="X24">
        <v>51</v>
      </c>
      <c r="Y24" s="249"/>
      <c r="Z24" s="249"/>
      <c r="AD24" s="249"/>
      <c r="AE24" s="249"/>
    </row>
    <row r="25" spans="3:31" ht="15" customHeight="1" x14ac:dyDescent="0.35">
      <c r="C25">
        <v>20</v>
      </c>
      <c r="D25">
        <v>23</v>
      </c>
      <c r="E25">
        <v>4</v>
      </c>
      <c r="F25">
        <v>1</v>
      </c>
      <c r="G25" t="s">
        <v>210</v>
      </c>
      <c r="H25" t="s">
        <v>211</v>
      </c>
      <c r="I25" t="s">
        <v>203</v>
      </c>
      <c r="J25">
        <v>5</v>
      </c>
      <c r="K25">
        <v>12</v>
      </c>
      <c r="L25" s="249" t="s">
        <v>171</v>
      </c>
      <c r="M25">
        <v>1962</v>
      </c>
      <c r="N25">
        <v>12</v>
      </c>
      <c r="O25" s="249">
        <v>86211</v>
      </c>
      <c r="P25" s="427">
        <v>689</v>
      </c>
      <c r="Q25">
        <v>4</v>
      </c>
      <c r="R25">
        <v>3146</v>
      </c>
      <c r="S25" s="427">
        <v>88</v>
      </c>
      <c r="T25" s="249">
        <v>0</v>
      </c>
      <c r="U25">
        <v>0</v>
      </c>
      <c r="V25" s="249">
        <v>0</v>
      </c>
      <c r="W25" s="249">
        <v>89357</v>
      </c>
      <c r="X25">
        <v>40</v>
      </c>
      <c r="Y25" s="249"/>
      <c r="Z25" s="249"/>
      <c r="AD25" s="249"/>
      <c r="AE25" s="249"/>
    </row>
    <row r="26" spans="3:31" ht="15" customHeight="1" x14ac:dyDescent="0.35">
      <c r="C26">
        <v>21</v>
      </c>
      <c r="D26">
        <v>24</v>
      </c>
      <c r="E26">
        <v>5</v>
      </c>
      <c r="F26">
        <v>1</v>
      </c>
      <c r="G26" t="s">
        <v>212</v>
      </c>
      <c r="H26" t="s">
        <v>213</v>
      </c>
      <c r="I26" t="s">
        <v>198</v>
      </c>
      <c r="J26">
        <v>5</v>
      </c>
      <c r="K26">
        <v>20</v>
      </c>
      <c r="L26" s="249" t="s">
        <v>174</v>
      </c>
      <c r="M26">
        <v>1958</v>
      </c>
      <c r="N26">
        <v>15</v>
      </c>
      <c r="O26" s="249">
        <v>96569</v>
      </c>
      <c r="P26" s="427">
        <v>684</v>
      </c>
      <c r="Q26">
        <v>0</v>
      </c>
      <c r="R26">
        <v>0</v>
      </c>
      <c r="S26" s="427">
        <v>0</v>
      </c>
      <c r="T26" s="249">
        <v>0</v>
      </c>
      <c r="U26">
        <v>0</v>
      </c>
      <c r="V26" s="249">
        <v>0</v>
      </c>
      <c r="W26" s="249">
        <v>96569</v>
      </c>
      <c r="X26">
        <v>30</v>
      </c>
      <c r="Y26" s="249"/>
      <c r="Z26" s="249"/>
      <c r="AD26" s="249"/>
      <c r="AE26" s="249"/>
    </row>
    <row r="27" spans="3:31" ht="15" customHeight="1" x14ac:dyDescent="0.35">
      <c r="C27">
        <v>22</v>
      </c>
      <c r="D27">
        <v>25</v>
      </c>
      <c r="E27">
        <v>4</v>
      </c>
      <c r="F27">
        <v>1</v>
      </c>
      <c r="G27" t="s">
        <v>214</v>
      </c>
      <c r="H27" t="s">
        <v>215</v>
      </c>
      <c r="I27" t="s">
        <v>198</v>
      </c>
      <c r="J27">
        <v>5</v>
      </c>
      <c r="K27">
        <v>12</v>
      </c>
      <c r="L27" s="249" t="s">
        <v>191</v>
      </c>
      <c r="M27">
        <v>1965</v>
      </c>
      <c r="N27">
        <v>4</v>
      </c>
      <c r="O27" s="249">
        <v>101743</v>
      </c>
      <c r="P27" s="427">
        <v>753</v>
      </c>
      <c r="Q27">
        <v>2</v>
      </c>
      <c r="R27">
        <v>1576</v>
      </c>
      <c r="S27" s="427">
        <v>36</v>
      </c>
      <c r="T27" s="249">
        <v>0</v>
      </c>
      <c r="U27">
        <v>0</v>
      </c>
      <c r="V27" s="249">
        <v>0</v>
      </c>
      <c r="W27" s="249">
        <v>103319</v>
      </c>
      <c r="X27">
        <v>42</v>
      </c>
      <c r="Y27" s="249"/>
      <c r="Z27" s="249"/>
      <c r="AD27" s="249"/>
      <c r="AE27" s="249"/>
    </row>
    <row r="28" spans="3:31" ht="15" customHeight="1" x14ac:dyDescent="0.35">
      <c r="C28">
        <v>23</v>
      </c>
      <c r="D28">
        <v>26</v>
      </c>
      <c r="E28">
        <v>5</v>
      </c>
      <c r="F28">
        <v>1</v>
      </c>
      <c r="G28" s="573" t="s">
        <v>216</v>
      </c>
      <c r="H28" s="573" t="s">
        <v>217</v>
      </c>
      <c r="I28" s="573" t="s">
        <v>203</v>
      </c>
      <c r="J28" s="573">
        <v>5</v>
      </c>
      <c r="K28" s="573">
        <v>34</v>
      </c>
      <c r="L28" s="574" t="s">
        <v>174</v>
      </c>
      <c r="M28" s="573">
        <v>1965</v>
      </c>
      <c r="N28" s="573">
        <v>2</v>
      </c>
      <c r="O28" s="574">
        <v>109877</v>
      </c>
      <c r="P28" s="575">
        <v>805</v>
      </c>
      <c r="Q28" s="573">
        <v>7</v>
      </c>
      <c r="R28" s="573">
        <v>5510</v>
      </c>
      <c r="S28" s="573">
        <v>0</v>
      </c>
      <c r="T28" s="574">
        <v>0</v>
      </c>
      <c r="U28" s="573">
        <v>0</v>
      </c>
      <c r="V28" s="574">
        <v>0</v>
      </c>
      <c r="W28" s="574">
        <v>115387</v>
      </c>
      <c r="X28" s="575">
        <v>35</v>
      </c>
      <c r="Y28" s="249"/>
      <c r="Z28" s="249"/>
      <c r="AD28" s="249"/>
      <c r="AE28" s="249"/>
    </row>
    <row r="29" spans="3:31" ht="15" customHeight="1" x14ac:dyDescent="0.35">
      <c r="C29">
        <v>25</v>
      </c>
      <c r="D29">
        <v>28</v>
      </c>
      <c r="E29">
        <v>9</v>
      </c>
      <c r="F29">
        <v>1</v>
      </c>
      <c r="G29" t="s">
        <v>218</v>
      </c>
      <c r="H29" t="s">
        <v>219</v>
      </c>
      <c r="I29" t="s">
        <v>198</v>
      </c>
      <c r="J29">
        <v>5</v>
      </c>
      <c r="K29">
        <v>85</v>
      </c>
      <c r="L29" s="249" t="s">
        <v>220</v>
      </c>
      <c r="M29" s="249">
        <v>1969</v>
      </c>
      <c r="N29">
        <v>36</v>
      </c>
      <c r="O29" s="249">
        <v>296793</v>
      </c>
      <c r="P29" s="430">
        <v>2041</v>
      </c>
      <c r="Q29">
        <v>11</v>
      </c>
      <c r="R29">
        <v>8668</v>
      </c>
      <c r="S29" s="427">
        <v>275</v>
      </c>
      <c r="T29" s="249">
        <v>0</v>
      </c>
      <c r="U29">
        <v>0</v>
      </c>
      <c r="V29" s="249">
        <v>0</v>
      </c>
      <c r="W29" s="249">
        <v>305461</v>
      </c>
      <c r="X29">
        <v>101</v>
      </c>
      <c r="Y29" s="249"/>
      <c r="Z29" s="249"/>
      <c r="AD29" s="249"/>
      <c r="AE29" s="249"/>
    </row>
    <row r="30" spans="3:31" ht="15" customHeight="1" x14ac:dyDescent="0.35">
      <c r="C30">
        <v>26</v>
      </c>
      <c r="D30">
        <v>29</v>
      </c>
      <c r="E30">
        <v>4</v>
      </c>
      <c r="F30">
        <v>1</v>
      </c>
      <c r="G30" t="s">
        <v>221</v>
      </c>
      <c r="H30" t="s">
        <v>222</v>
      </c>
      <c r="I30" t="s">
        <v>198</v>
      </c>
      <c r="J30">
        <v>5</v>
      </c>
      <c r="K30">
        <v>12</v>
      </c>
      <c r="L30" s="249" t="s">
        <v>171</v>
      </c>
      <c r="M30">
        <v>1965</v>
      </c>
      <c r="N30">
        <v>3</v>
      </c>
      <c r="O30" s="249">
        <v>84548</v>
      </c>
      <c r="P30" s="427">
        <v>848</v>
      </c>
      <c r="Q30">
        <v>7</v>
      </c>
      <c r="R30">
        <v>5411</v>
      </c>
      <c r="S30" s="427">
        <v>150</v>
      </c>
      <c r="T30" s="249">
        <v>0</v>
      </c>
      <c r="U30">
        <v>0</v>
      </c>
      <c r="V30" s="249">
        <v>0</v>
      </c>
      <c r="W30" s="249">
        <v>89959</v>
      </c>
      <c r="X30">
        <v>52</v>
      </c>
      <c r="Y30" s="249"/>
      <c r="Z30" s="249"/>
      <c r="AD30" s="249"/>
      <c r="AE30" s="249"/>
    </row>
    <row r="31" spans="3:31" ht="15" customHeight="1" x14ac:dyDescent="0.35">
      <c r="C31">
        <v>27</v>
      </c>
      <c r="D31">
        <v>30</v>
      </c>
      <c r="E31">
        <v>4</v>
      </c>
      <c r="F31">
        <v>1</v>
      </c>
      <c r="G31" t="s">
        <v>223</v>
      </c>
      <c r="H31" t="s">
        <v>224</v>
      </c>
      <c r="I31" t="s">
        <v>203</v>
      </c>
      <c r="J31">
        <v>5</v>
      </c>
      <c r="K31">
        <v>15</v>
      </c>
      <c r="L31" s="249" t="s">
        <v>191</v>
      </c>
      <c r="M31">
        <v>1966</v>
      </c>
      <c r="N31">
        <v>9</v>
      </c>
      <c r="O31" s="249">
        <v>105369</v>
      </c>
      <c r="P31" s="427">
        <v>713</v>
      </c>
      <c r="Q31">
        <v>2</v>
      </c>
      <c r="R31">
        <v>1366</v>
      </c>
      <c r="S31" s="427">
        <v>44</v>
      </c>
      <c r="T31" s="249">
        <v>0</v>
      </c>
      <c r="U31">
        <v>0</v>
      </c>
      <c r="V31" s="249">
        <v>0</v>
      </c>
      <c r="W31" s="249">
        <v>106735</v>
      </c>
      <c r="X31">
        <v>42</v>
      </c>
      <c r="Y31" s="249"/>
      <c r="Z31" s="249"/>
      <c r="AD31" s="249"/>
      <c r="AE31" s="249"/>
    </row>
    <row r="32" spans="3:31" ht="15" customHeight="1" x14ac:dyDescent="0.35">
      <c r="C32">
        <v>28</v>
      </c>
      <c r="D32">
        <v>31</v>
      </c>
      <c r="E32">
        <v>7</v>
      </c>
      <c r="F32">
        <v>1</v>
      </c>
      <c r="G32" t="s">
        <v>225</v>
      </c>
      <c r="H32" t="s">
        <v>226</v>
      </c>
      <c r="I32" t="s">
        <v>227</v>
      </c>
      <c r="J32">
        <v>5</v>
      </c>
      <c r="K32">
        <v>40</v>
      </c>
      <c r="L32" s="249" t="s">
        <v>168</v>
      </c>
      <c r="M32" s="249">
        <v>1954</v>
      </c>
      <c r="N32">
        <v>23</v>
      </c>
      <c r="O32" s="249">
        <v>337735</v>
      </c>
      <c r="P32" s="430">
        <v>2444</v>
      </c>
      <c r="Q32">
        <v>2</v>
      </c>
      <c r="R32">
        <v>1576</v>
      </c>
      <c r="S32" s="427">
        <v>50</v>
      </c>
      <c r="T32" s="249">
        <v>0</v>
      </c>
      <c r="U32">
        <v>144</v>
      </c>
      <c r="V32" s="249">
        <v>0</v>
      </c>
      <c r="W32" s="249">
        <v>339455</v>
      </c>
      <c r="X32">
        <v>106</v>
      </c>
      <c r="Y32" s="249"/>
      <c r="Z32" s="249"/>
      <c r="AD32" s="249"/>
      <c r="AE32" s="249"/>
    </row>
    <row r="33" spans="3:31" ht="18" customHeight="1" x14ac:dyDescent="0.35">
      <c r="C33">
        <v>29</v>
      </c>
      <c r="D33">
        <v>32</v>
      </c>
      <c r="E33">
        <v>7</v>
      </c>
      <c r="F33">
        <v>1</v>
      </c>
      <c r="G33" t="s">
        <v>228</v>
      </c>
      <c r="H33" t="s">
        <v>229</v>
      </c>
      <c r="I33" t="s">
        <v>227</v>
      </c>
      <c r="J33">
        <v>5</v>
      </c>
      <c r="K33">
        <v>38</v>
      </c>
      <c r="L33" s="249" t="s">
        <v>168</v>
      </c>
      <c r="M33" s="249">
        <v>1958</v>
      </c>
      <c r="N33">
        <v>27</v>
      </c>
      <c r="O33" s="249">
        <v>323894</v>
      </c>
      <c r="P33" s="430">
        <v>2606</v>
      </c>
      <c r="Q33">
        <v>22</v>
      </c>
      <c r="R33">
        <v>17021</v>
      </c>
      <c r="S33" s="427">
        <v>25</v>
      </c>
      <c r="T33" s="249">
        <v>0</v>
      </c>
      <c r="U33">
        <v>0</v>
      </c>
      <c r="V33" s="249">
        <v>0</v>
      </c>
      <c r="W33" s="249">
        <v>340915</v>
      </c>
      <c r="X33">
        <v>110</v>
      </c>
      <c r="Y33" s="249"/>
      <c r="Z33" s="249"/>
      <c r="AD33" s="249"/>
      <c r="AE33" s="249"/>
    </row>
    <row r="34" spans="3:31" ht="15" customHeight="1" x14ac:dyDescent="0.35">
      <c r="C34">
        <v>30</v>
      </c>
      <c r="D34">
        <v>33</v>
      </c>
      <c r="E34">
        <v>4</v>
      </c>
      <c r="F34">
        <v>1</v>
      </c>
      <c r="G34" t="s">
        <v>230</v>
      </c>
      <c r="H34" t="s">
        <v>231</v>
      </c>
      <c r="I34" t="s">
        <v>128</v>
      </c>
      <c r="J34">
        <v>5</v>
      </c>
      <c r="K34">
        <v>12</v>
      </c>
      <c r="L34" s="249" t="s">
        <v>191</v>
      </c>
      <c r="M34">
        <v>1960</v>
      </c>
      <c r="N34">
        <v>12</v>
      </c>
      <c r="O34" s="249">
        <v>80091</v>
      </c>
      <c r="P34" s="427">
        <v>760</v>
      </c>
      <c r="Q34">
        <v>0</v>
      </c>
      <c r="R34">
        <v>0</v>
      </c>
      <c r="S34" s="427">
        <v>0</v>
      </c>
      <c r="T34" s="249">
        <v>0</v>
      </c>
      <c r="U34">
        <v>0</v>
      </c>
      <c r="V34" s="249">
        <v>0</v>
      </c>
      <c r="W34" s="249">
        <v>80091</v>
      </c>
      <c r="X34">
        <v>38</v>
      </c>
      <c r="Y34" s="249"/>
      <c r="Z34" s="249"/>
      <c r="AD34" s="249"/>
      <c r="AE34" s="249"/>
    </row>
    <row r="35" spans="3:31" ht="18" customHeight="1" x14ac:dyDescent="0.35">
      <c r="C35">
        <v>31</v>
      </c>
      <c r="D35">
        <v>34</v>
      </c>
      <c r="E35">
        <v>4</v>
      </c>
      <c r="F35">
        <v>1</v>
      </c>
      <c r="G35" t="s">
        <v>232</v>
      </c>
      <c r="H35" t="s">
        <v>233</v>
      </c>
      <c r="I35" t="s">
        <v>227</v>
      </c>
      <c r="J35">
        <v>5</v>
      </c>
      <c r="K35">
        <v>11</v>
      </c>
      <c r="L35" s="249" t="s">
        <v>171</v>
      </c>
      <c r="M35">
        <v>1959</v>
      </c>
      <c r="N35">
        <v>15</v>
      </c>
      <c r="O35" s="249">
        <v>84658</v>
      </c>
      <c r="P35" s="427">
        <v>679</v>
      </c>
      <c r="Q35">
        <v>6</v>
      </c>
      <c r="R35">
        <v>4728</v>
      </c>
      <c r="S35" s="427">
        <v>132</v>
      </c>
      <c r="T35" s="249">
        <v>0</v>
      </c>
      <c r="U35">
        <v>0</v>
      </c>
      <c r="V35" s="249">
        <v>0</v>
      </c>
      <c r="W35" s="249">
        <v>89386</v>
      </c>
      <c r="X35">
        <v>41</v>
      </c>
      <c r="Y35" s="249"/>
      <c r="Z35" s="249"/>
      <c r="AD35" s="249"/>
      <c r="AE35" s="249"/>
    </row>
    <row r="36" spans="3:31" ht="15" customHeight="1" x14ac:dyDescent="0.35">
      <c r="C36">
        <v>32</v>
      </c>
      <c r="D36">
        <v>35</v>
      </c>
      <c r="E36">
        <v>4</v>
      </c>
      <c r="F36">
        <v>1</v>
      </c>
      <c r="G36" t="s">
        <v>234</v>
      </c>
      <c r="H36" t="s">
        <v>235</v>
      </c>
      <c r="I36" t="s">
        <v>126</v>
      </c>
      <c r="J36">
        <v>5</v>
      </c>
      <c r="K36">
        <v>13</v>
      </c>
      <c r="L36" s="249" t="s">
        <v>171</v>
      </c>
      <c r="M36">
        <v>1978</v>
      </c>
      <c r="N36">
        <v>6</v>
      </c>
      <c r="O36" s="249">
        <v>104107</v>
      </c>
      <c r="P36" s="427">
        <v>768</v>
      </c>
      <c r="Q36">
        <v>4</v>
      </c>
      <c r="R36">
        <v>3047</v>
      </c>
      <c r="S36" s="427">
        <v>66</v>
      </c>
      <c r="T36" s="249">
        <v>0</v>
      </c>
      <c r="U36">
        <v>0</v>
      </c>
      <c r="V36" s="249">
        <v>0</v>
      </c>
      <c r="W36" s="249">
        <v>107154</v>
      </c>
      <c r="X36">
        <v>44</v>
      </c>
      <c r="Y36" s="249"/>
      <c r="Z36" s="249"/>
      <c r="AD36" s="249"/>
      <c r="AE36" s="249"/>
    </row>
    <row r="37" spans="3:31" ht="15" customHeight="1" x14ac:dyDescent="0.35">
      <c r="C37">
        <v>33</v>
      </c>
      <c r="D37">
        <v>36</v>
      </c>
      <c r="E37">
        <v>5</v>
      </c>
      <c r="F37">
        <v>1</v>
      </c>
      <c r="G37" t="s">
        <v>236</v>
      </c>
      <c r="H37" t="s">
        <v>237</v>
      </c>
      <c r="I37" t="s">
        <v>227</v>
      </c>
      <c r="J37">
        <v>5</v>
      </c>
      <c r="K37">
        <v>35</v>
      </c>
      <c r="L37" s="249" t="s">
        <v>174</v>
      </c>
      <c r="M37" s="249">
        <v>1954</v>
      </c>
      <c r="N37">
        <v>11</v>
      </c>
      <c r="O37" s="249">
        <v>163059</v>
      </c>
      <c r="P37" s="430">
        <v>1195</v>
      </c>
      <c r="Q37">
        <v>0</v>
      </c>
      <c r="R37">
        <v>0</v>
      </c>
      <c r="S37" s="427">
        <v>0</v>
      </c>
      <c r="T37" s="249">
        <v>0</v>
      </c>
      <c r="U37">
        <v>0</v>
      </c>
      <c r="V37" s="249">
        <v>0</v>
      </c>
      <c r="W37" s="249">
        <v>163059</v>
      </c>
      <c r="X37">
        <v>53</v>
      </c>
      <c r="Y37" s="249"/>
      <c r="Z37" s="249"/>
      <c r="AD37" s="249"/>
      <c r="AE37" s="249"/>
    </row>
    <row r="38" spans="3:31" ht="15" customHeight="1" x14ac:dyDescent="0.35">
      <c r="C38">
        <v>34</v>
      </c>
      <c r="D38">
        <v>37</v>
      </c>
      <c r="E38">
        <v>4</v>
      </c>
      <c r="F38">
        <v>1</v>
      </c>
      <c r="G38" t="s">
        <v>238</v>
      </c>
      <c r="H38" t="s">
        <v>239</v>
      </c>
      <c r="I38" t="s">
        <v>125</v>
      </c>
      <c r="J38">
        <v>5</v>
      </c>
      <c r="K38">
        <v>14</v>
      </c>
      <c r="L38" s="249" t="s">
        <v>171</v>
      </c>
      <c r="M38">
        <v>1965</v>
      </c>
      <c r="N38">
        <v>6</v>
      </c>
      <c r="O38" s="249">
        <v>92313</v>
      </c>
      <c r="P38" s="427">
        <v>807</v>
      </c>
      <c r="Q38">
        <v>9</v>
      </c>
      <c r="R38">
        <v>6975</v>
      </c>
      <c r="S38" s="427">
        <v>176</v>
      </c>
      <c r="T38" s="249">
        <v>0</v>
      </c>
      <c r="U38">
        <v>0</v>
      </c>
      <c r="V38" s="249">
        <v>0</v>
      </c>
      <c r="W38" s="249">
        <v>99288</v>
      </c>
      <c r="X38">
        <v>51</v>
      </c>
      <c r="Y38" s="249"/>
      <c r="Z38" s="249"/>
      <c r="AD38" s="249"/>
      <c r="AE38" s="249"/>
    </row>
    <row r="39" spans="3:31" ht="15" customHeight="1" x14ac:dyDescent="0.35">
      <c r="C39">
        <v>35</v>
      </c>
      <c r="D39">
        <v>38</v>
      </c>
      <c r="E39">
        <v>4</v>
      </c>
      <c r="F39">
        <v>1</v>
      </c>
      <c r="G39" t="s">
        <v>240</v>
      </c>
      <c r="H39" t="s">
        <v>241</v>
      </c>
      <c r="I39" t="s">
        <v>125</v>
      </c>
      <c r="J39">
        <v>5</v>
      </c>
      <c r="K39">
        <v>29</v>
      </c>
      <c r="L39" s="249" t="s">
        <v>171</v>
      </c>
      <c r="M39">
        <v>1980</v>
      </c>
      <c r="N39">
        <v>3</v>
      </c>
      <c r="O39" s="249">
        <v>112836</v>
      </c>
      <c r="P39" s="427">
        <v>892</v>
      </c>
      <c r="Q39">
        <v>0</v>
      </c>
      <c r="R39">
        <v>0</v>
      </c>
      <c r="S39" s="427">
        <v>0</v>
      </c>
      <c r="T39" s="249">
        <v>0</v>
      </c>
      <c r="U39">
        <v>0</v>
      </c>
      <c r="V39" s="249">
        <v>0</v>
      </c>
      <c r="W39" s="249">
        <v>112836</v>
      </c>
      <c r="X39">
        <v>47</v>
      </c>
      <c r="Y39" s="249"/>
      <c r="Z39" s="249"/>
      <c r="AD39" s="249"/>
      <c r="AE39" s="249"/>
    </row>
    <row r="40" spans="3:31" ht="15" customHeight="1" x14ac:dyDescent="0.35">
      <c r="C40">
        <v>36</v>
      </c>
      <c r="D40">
        <v>39</v>
      </c>
      <c r="E40">
        <v>4</v>
      </c>
      <c r="F40">
        <v>1</v>
      </c>
      <c r="G40" t="s">
        <v>242</v>
      </c>
      <c r="H40" t="s">
        <v>243</v>
      </c>
      <c r="I40" t="s">
        <v>125</v>
      </c>
      <c r="J40">
        <v>5</v>
      </c>
      <c r="K40">
        <v>20</v>
      </c>
      <c r="L40" s="249" t="s">
        <v>171</v>
      </c>
      <c r="M40">
        <v>1980</v>
      </c>
      <c r="N40">
        <v>3</v>
      </c>
      <c r="O40" s="249">
        <v>95746</v>
      </c>
      <c r="P40" s="427">
        <v>830</v>
      </c>
      <c r="Q40">
        <v>2</v>
      </c>
      <c r="R40">
        <v>1576</v>
      </c>
      <c r="S40" s="427">
        <v>44</v>
      </c>
      <c r="T40" s="249">
        <v>0</v>
      </c>
      <c r="U40">
        <v>0</v>
      </c>
      <c r="V40" s="249">
        <v>0</v>
      </c>
      <c r="W40" s="249">
        <v>97322</v>
      </c>
      <c r="X40">
        <v>46</v>
      </c>
      <c r="Y40" s="249"/>
      <c r="Z40" s="249"/>
      <c r="AD40" s="249"/>
      <c r="AE40" s="249"/>
    </row>
    <row r="41" spans="3:31" ht="15" customHeight="1" x14ac:dyDescent="0.35">
      <c r="C41">
        <v>37</v>
      </c>
      <c r="D41">
        <v>40</v>
      </c>
      <c r="E41">
        <v>5</v>
      </c>
      <c r="F41">
        <v>1</v>
      </c>
      <c r="G41" t="s">
        <v>133</v>
      </c>
      <c r="H41" t="s">
        <v>244</v>
      </c>
      <c r="I41" t="s">
        <v>125</v>
      </c>
      <c r="J41">
        <v>5</v>
      </c>
      <c r="K41">
        <v>20</v>
      </c>
      <c r="L41" s="249" t="s">
        <v>174</v>
      </c>
      <c r="M41" s="249">
        <v>1980</v>
      </c>
      <c r="N41">
        <v>11</v>
      </c>
      <c r="O41" s="249">
        <v>207801</v>
      </c>
      <c r="P41" s="430">
        <v>1423</v>
      </c>
      <c r="Q41">
        <v>0</v>
      </c>
      <c r="R41">
        <v>0</v>
      </c>
      <c r="S41" s="427">
        <v>0</v>
      </c>
      <c r="T41" s="249">
        <v>0</v>
      </c>
      <c r="U41">
        <v>0</v>
      </c>
      <c r="V41" s="249">
        <v>0</v>
      </c>
      <c r="W41" s="249">
        <v>207801</v>
      </c>
      <c r="X41">
        <v>60</v>
      </c>
      <c r="Y41" s="249"/>
      <c r="Z41" s="249"/>
      <c r="AD41" s="249"/>
      <c r="AE41" s="249"/>
    </row>
    <row r="42" spans="3:31" ht="15" customHeight="1" x14ac:dyDescent="0.35">
      <c r="C42">
        <v>38</v>
      </c>
      <c r="D42">
        <v>41</v>
      </c>
      <c r="E42">
        <v>4</v>
      </c>
      <c r="F42">
        <v>1</v>
      </c>
      <c r="G42" t="s">
        <v>245</v>
      </c>
      <c r="H42" t="s">
        <v>246</v>
      </c>
      <c r="I42" t="s">
        <v>125</v>
      </c>
      <c r="J42">
        <v>5</v>
      </c>
      <c r="K42">
        <v>25</v>
      </c>
      <c r="L42" s="249" t="s">
        <v>171</v>
      </c>
      <c r="M42">
        <v>1979</v>
      </c>
      <c r="N42">
        <v>9</v>
      </c>
      <c r="O42" s="249">
        <v>114580</v>
      </c>
      <c r="P42" s="427">
        <v>685</v>
      </c>
      <c r="Q42">
        <v>3</v>
      </c>
      <c r="R42">
        <v>2364</v>
      </c>
      <c r="S42" s="427">
        <v>66</v>
      </c>
      <c r="T42" s="249">
        <v>0</v>
      </c>
      <c r="U42">
        <v>0</v>
      </c>
      <c r="V42" s="249">
        <v>0</v>
      </c>
      <c r="W42" s="249">
        <v>116944</v>
      </c>
      <c r="X42">
        <v>39</v>
      </c>
      <c r="Y42" s="249"/>
      <c r="Z42" s="249"/>
      <c r="AD42" s="249"/>
      <c r="AE42" s="249"/>
    </row>
    <row r="43" spans="3:31" ht="15" customHeight="1" x14ac:dyDescent="0.35">
      <c r="C43">
        <v>39</v>
      </c>
      <c r="D43">
        <v>42</v>
      </c>
      <c r="E43">
        <v>4</v>
      </c>
      <c r="F43">
        <v>1</v>
      </c>
      <c r="G43" t="s">
        <v>247</v>
      </c>
      <c r="H43" t="s">
        <v>248</v>
      </c>
      <c r="I43" t="s">
        <v>125</v>
      </c>
      <c r="J43">
        <v>5</v>
      </c>
      <c r="K43">
        <v>18</v>
      </c>
      <c r="L43" s="249" t="s">
        <v>171</v>
      </c>
      <c r="M43">
        <v>1987</v>
      </c>
      <c r="N43">
        <v>11</v>
      </c>
      <c r="O43" s="249">
        <v>145005</v>
      </c>
      <c r="P43" s="427">
        <v>826</v>
      </c>
      <c r="Q43">
        <v>8</v>
      </c>
      <c r="R43">
        <v>6740</v>
      </c>
      <c r="S43" s="427">
        <v>154</v>
      </c>
      <c r="T43" s="249">
        <v>0</v>
      </c>
      <c r="U43">
        <v>0</v>
      </c>
      <c r="V43" s="249">
        <v>0</v>
      </c>
      <c r="W43" s="249">
        <v>151745</v>
      </c>
      <c r="X43">
        <v>51</v>
      </c>
      <c r="Y43" s="249"/>
      <c r="Z43" s="249"/>
      <c r="AD43" s="249"/>
      <c r="AE43" s="249"/>
    </row>
    <row r="44" spans="3:31" ht="15" customHeight="1" x14ac:dyDescent="0.35">
      <c r="C44">
        <v>40</v>
      </c>
      <c r="D44">
        <v>43</v>
      </c>
      <c r="E44">
        <v>4</v>
      </c>
      <c r="F44">
        <v>1</v>
      </c>
      <c r="G44" t="s">
        <v>249</v>
      </c>
      <c r="H44" t="s">
        <v>250</v>
      </c>
      <c r="I44" t="s">
        <v>125</v>
      </c>
      <c r="J44">
        <v>5</v>
      </c>
      <c r="K44">
        <v>13</v>
      </c>
      <c r="L44" s="249" t="s">
        <v>171</v>
      </c>
      <c r="M44">
        <v>1984</v>
      </c>
      <c r="N44">
        <v>10</v>
      </c>
      <c r="O44" s="249">
        <v>126164</v>
      </c>
      <c r="P44" s="427">
        <v>754</v>
      </c>
      <c r="Q44">
        <v>8</v>
      </c>
      <c r="R44">
        <v>5863</v>
      </c>
      <c r="S44" s="427">
        <v>84</v>
      </c>
      <c r="T44" s="249">
        <v>0</v>
      </c>
      <c r="U44">
        <v>0</v>
      </c>
      <c r="V44" s="249">
        <v>0</v>
      </c>
      <c r="W44" s="249">
        <v>132027</v>
      </c>
      <c r="X44">
        <v>44</v>
      </c>
      <c r="Y44" s="249"/>
      <c r="Z44" s="249"/>
      <c r="AD44" s="249"/>
      <c r="AE44" s="249"/>
    </row>
    <row r="45" spans="3:31" ht="15" customHeight="1" x14ac:dyDescent="0.35">
      <c r="C45">
        <v>41</v>
      </c>
      <c r="D45">
        <v>44</v>
      </c>
      <c r="E45">
        <v>4</v>
      </c>
      <c r="F45">
        <v>1</v>
      </c>
      <c r="G45" t="s">
        <v>251</v>
      </c>
      <c r="H45" t="s">
        <v>252</v>
      </c>
      <c r="I45" t="s">
        <v>125</v>
      </c>
      <c r="J45">
        <v>5</v>
      </c>
      <c r="K45">
        <v>15</v>
      </c>
      <c r="L45" s="249" t="s">
        <v>171</v>
      </c>
      <c r="M45">
        <v>1988</v>
      </c>
      <c r="N45">
        <v>9</v>
      </c>
      <c r="O45" s="249">
        <v>108655</v>
      </c>
      <c r="P45" s="427">
        <v>689</v>
      </c>
      <c r="Q45">
        <v>2</v>
      </c>
      <c r="R45">
        <v>1576</v>
      </c>
      <c r="S45" s="427">
        <v>44</v>
      </c>
      <c r="T45" s="249">
        <v>0</v>
      </c>
      <c r="U45">
        <v>0</v>
      </c>
      <c r="V45" s="249">
        <v>0</v>
      </c>
      <c r="W45" s="249">
        <v>110231</v>
      </c>
      <c r="X45">
        <v>38</v>
      </c>
      <c r="Y45" s="249"/>
      <c r="Z45" s="249"/>
      <c r="AD45" s="249"/>
      <c r="AE45" s="249"/>
    </row>
    <row r="46" spans="3:31" ht="15" customHeight="1" x14ac:dyDescent="0.35">
      <c r="C46">
        <v>42</v>
      </c>
      <c r="D46">
        <v>45</v>
      </c>
      <c r="E46">
        <v>4</v>
      </c>
      <c r="F46">
        <v>1</v>
      </c>
      <c r="G46" t="s">
        <v>253</v>
      </c>
      <c r="H46" t="s">
        <v>254</v>
      </c>
      <c r="I46" t="s">
        <v>125</v>
      </c>
      <c r="J46">
        <v>5</v>
      </c>
      <c r="K46">
        <v>40</v>
      </c>
      <c r="L46" s="249" t="s">
        <v>171</v>
      </c>
      <c r="M46">
        <v>1986</v>
      </c>
      <c r="N46">
        <v>10</v>
      </c>
      <c r="O46" s="249">
        <v>125282</v>
      </c>
      <c r="P46" s="427">
        <v>780</v>
      </c>
      <c r="Q46">
        <v>8</v>
      </c>
      <c r="R46">
        <v>5674</v>
      </c>
      <c r="S46" s="427">
        <v>172</v>
      </c>
      <c r="T46" s="249">
        <v>0</v>
      </c>
      <c r="U46">
        <v>0</v>
      </c>
      <c r="V46" s="249">
        <v>0</v>
      </c>
      <c r="W46" s="249">
        <v>130956</v>
      </c>
      <c r="X46">
        <v>49</v>
      </c>
      <c r="Y46" s="249"/>
      <c r="Z46" s="249"/>
      <c r="AD46" s="249"/>
      <c r="AE46" s="249"/>
    </row>
    <row r="47" spans="3:31" ht="15" customHeight="1" x14ac:dyDescent="0.35">
      <c r="C47">
        <v>43</v>
      </c>
      <c r="D47">
        <v>46</v>
      </c>
      <c r="E47">
        <v>7</v>
      </c>
      <c r="F47">
        <v>1</v>
      </c>
      <c r="G47" t="s">
        <v>255</v>
      </c>
      <c r="H47" t="s">
        <v>256</v>
      </c>
      <c r="I47" t="s">
        <v>227</v>
      </c>
      <c r="J47">
        <v>5</v>
      </c>
      <c r="K47">
        <v>33</v>
      </c>
      <c r="L47" s="249" t="s">
        <v>168</v>
      </c>
      <c r="M47" s="249">
        <v>1958</v>
      </c>
      <c r="N47">
        <v>39</v>
      </c>
      <c r="O47" s="249">
        <v>315099</v>
      </c>
      <c r="P47" s="430">
        <v>2053</v>
      </c>
      <c r="Q47">
        <v>13</v>
      </c>
      <c r="R47">
        <v>10470</v>
      </c>
      <c r="S47" s="427">
        <v>225</v>
      </c>
      <c r="T47" s="249">
        <v>0</v>
      </c>
      <c r="U47">
        <v>0</v>
      </c>
      <c r="V47" s="249">
        <v>0</v>
      </c>
      <c r="W47" s="249">
        <v>325569</v>
      </c>
      <c r="X47">
        <v>100</v>
      </c>
      <c r="Y47" s="249"/>
      <c r="Z47" s="249"/>
      <c r="AD47" s="249"/>
      <c r="AE47" s="249"/>
    </row>
    <row r="48" spans="3:31" ht="15" customHeight="1" x14ac:dyDescent="0.35">
      <c r="C48">
        <v>44</v>
      </c>
      <c r="D48">
        <v>47</v>
      </c>
      <c r="E48">
        <v>9</v>
      </c>
      <c r="F48">
        <v>1</v>
      </c>
      <c r="G48" t="s">
        <v>135</v>
      </c>
      <c r="H48" t="s">
        <v>257</v>
      </c>
      <c r="I48" t="s">
        <v>227</v>
      </c>
      <c r="J48">
        <v>5</v>
      </c>
      <c r="K48">
        <v>28</v>
      </c>
      <c r="L48" s="249" t="s">
        <v>220</v>
      </c>
      <c r="M48" s="249">
        <v>1956</v>
      </c>
      <c r="N48">
        <v>19</v>
      </c>
      <c r="O48" s="249">
        <v>135048</v>
      </c>
      <c r="P48" s="430">
        <v>1232</v>
      </c>
      <c r="Q48">
        <v>8</v>
      </c>
      <c r="R48">
        <v>6748</v>
      </c>
      <c r="S48" s="427">
        <v>172</v>
      </c>
      <c r="T48" s="249">
        <v>0</v>
      </c>
      <c r="U48">
        <v>255</v>
      </c>
      <c r="V48" s="249">
        <v>0</v>
      </c>
      <c r="W48" s="249">
        <v>142051</v>
      </c>
      <c r="X48">
        <v>54</v>
      </c>
      <c r="Y48" s="249"/>
      <c r="Z48" s="249"/>
      <c r="AD48" s="249"/>
      <c r="AE48" s="249"/>
    </row>
    <row r="49" spans="3:31" ht="15" customHeight="1" x14ac:dyDescent="0.35">
      <c r="C49">
        <v>45</v>
      </c>
      <c r="D49">
        <v>48</v>
      </c>
      <c r="E49">
        <v>5</v>
      </c>
      <c r="F49">
        <v>1</v>
      </c>
      <c r="G49" t="s">
        <v>258</v>
      </c>
      <c r="H49" t="s">
        <v>259</v>
      </c>
      <c r="I49" t="s">
        <v>227</v>
      </c>
      <c r="J49">
        <v>5</v>
      </c>
      <c r="K49">
        <v>31</v>
      </c>
      <c r="L49" s="249" t="s">
        <v>174</v>
      </c>
      <c r="M49" s="249">
        <v>1963</v>
      </c>
      <c r="N49">
        <v>7</v>
      </c>
      <c r="O49" s="249">
        <v>144165</v>
      </c>
      <c r="P49" s="430">
        <v>1182</v>
      </c>
      <c r="Q49">
        <v>3</v>
      </c>
      <c r="R49">
        <v>2364</v>
      </c>
      <c r="S49" s="427">
        <v>0</v>
      </c>
      <c r="T49" s="249">
        <v>0</v>
      </c>
      <c r="U49">
        <v>0</v>
      </c>
      <c r="V49" s="249">
        <v>0</v>
      </c>
      <c r="W49" s="249">
        <v>146529</v>
      </c>
      <c r="X49">
        <v>52</v>
      </c>
      <c r="Y49" s="249"/>
      <c r="Z49" s="249"/>
      <c r="AD49" s="249"/>
      <c r="AE49" s="249"/>
    </row>
    <row r="50" spans="3:31" ht="15" customHeight="1" x14ac:dyDescent="0.35">
      <c r="C50">
        <v>46</v>
      </c>
      <c r="D50">
        <v>49</v>
      </c>
      <c r="E50">
        <v>4</v>
      </c>
      <c r="F50">
        <v>1</v>
      </c>
      <c r="G50" t="s">
        <v>260</v>
      </c>
      <c r="H50" t="s">
        <v>261</v>
      </c>
      <c r="I50" t="s">
        <v>227</v>
      </c>
      <c r="J50">
        <v>5</v>
      </c>
      <c r="K50">
        <v>12</v>
      </c>
      <c r="L50" s="249" t="s">
        <v>171</v>
      </c>
      <c r="M50">
        <v>1962</v>
      </c>
      <c r="N50">
        <v>5</v>
      </c>
      <c r="O50" s="249">
        <v>85471</v>
      </c>
      <c r="P50" s="427">
        <v>609</v>
      </c>
      <c r="Q50">
        <v>0</v>
      </c>
      <c r="R50">
        <v>0</v>
      </c>
      <c r="S50" s="427">
        <v>0</v>
      </c>
      <c r="T50" s="249">
        <v>0</v>
      </c>
      <c r="U50">
        <v>0</v>
      </c>
      <c r="V50" s="249">
        <v>0</v>
      </c>
      <c r="W50" s="249">
        <v>85471</v>
      </c>
      <c r="X50">
        <v>32</v>
      </c>
      <c r="Y50" s="249"/>
      <c r="Z50" s="249"/>
      <c r="AD50" s="249"/>
      <c r="AE50" s="249"/>
    </row>
    <row r="51" spans="3:31" ht="15" customHeight="1" x14ac:dyDescent="0.35">
      <c r="C51">
        <v>47</v>
      </c>
      <c r="D51">
        <v>50</v>
      </c>
      <c r="E51">
        <v>19</v>
      </c>
      <c r="F51">
        <v>6</v>
      </c>
      <c r="G51" t="s">
        <v>262</v>
      </c>
      <c r="H51" t="s">
        <v>263</v>
      </c>
      <c r="I51" t="s">
        <v>227</v>
      </c>
      <c r="J51">
        <v>5</v>
      </c>
      <c r="K51">
        <v>6</v>
      </c>
      <c r="L51" s="249" t="s">
        <v>264</v>
      </c>
      <c r="M51">
        <v>1923</v>
      </c>
      <c r="N51">
        <v>3</v>
      </c>
      <c r="O51" s="249">
        <v>23984</v>
      </c>
      <c r="P51" s="427">
        <v>0</v>
      </c>
      <c r="Q51">
        <v>1</v>
      </c>
      <c r="R51">
        <v>620</v>
      </c>
      <c r="S51" s="427">
        <v>0</v>
      </c>
      <c r="T51" s="249">
        <v>0</v>
      </c>
      <c r="U51">
        <v>0</v>
      </c>
      <c r="V51" s="249">
        <v>0</v>
      </c>
      <c r="W51" s="249">
        <v>24604</v>
      </c>
      <c r="X51">
        <v>0</v>
      </c>
      <c r="Y51" s="249"/>
      <c r="Z51" s="249"/>
      <c r="AD51" s="249"/>
      <c r="AE51" s="249"/>
    </row>
    <row r="52" spans="3:31" ht="15" customHeight="1" x14ac:dyDescent="0.35">
      <c r="C52">
        <v>48</v>
      </c>
      <c r="D52">
        <v>51</v>
      </c>
      <c r="E52">
        <v>4</v>
      </c>
      <c r="F52">
        <v>1</v>
      </c>
      <c r="G52" t="s">
        <v>265</v>
      </c>
      <c r="H52" t="s">
        <v>266</v>
      </c>
      <c r="I52" t="s">
        <v>227</v>
      </c>
      <c r="J52">
        <v>5</v>
      </c>
      <c r="K52">
        <v>12</v>
      </c>
      <c r="L52" s="249" t="s">
        <v>171</v>
      </c>
      <c r="M52">
        <v>1960</v>
      </c>
      <c r="N52">
        <v>12</v>
      </c>
      <c r="O52" s="249">
        <v>60864</v>
      </c>
      <c r="P52" s="427">
        <v>453</v>
      </c>
      <c r="Q52">
        <v>8</v>
      </c>
      <c r="R52">
        <v>6242</v>
      </c>
      <c r="S52" s="427">
        <v>176</v>
      </c>
      <c r="T52" s="249">
        <v>0</v>
      </c>
      <c r="U52">
        <v>0</v>
      </c>
      <c r="V52" s="249">
        <v>0</v>
      </c>
      <c r="W52" s="249">
        <v>67106</v>
      </c>
      <c r="X52">
        <v>32</v>
      </c>
      <c r="Y52" s="249"/>
      <c r="Z52" s="249"/>
      <c r="AD52" s="249"/>
      <c r="AE52" s="249"/>
    </row>
    <row r="53" spans="3:31" ht="15" customHeight="1" x14ac:dyDescent="0.35">
      <c r="C53">
        <v>49</v>
      </c>
      <c r="D53">
        <v>52</v>
      </c>
      <c r="E53">
        <v>4</v>
      </c>
      <c r="F53">
        <v>1</v>
      </c>
      <c r="G53" t="s">
        <v>267</v>
      </c>
      <c r="H53" t="s">
        <v>268</v>
      </c>
      <c r="I53" t="s">
        <v>227</v>
      </c>
      <c r="J53">
        <v>5</v>
      </c>
      <c r="K53">
        <v>12</v>
      </c>
      <c r="L53" s="249" t="s">
        <v>171</v>
      </c>
      <c r="M53">
        <v>1962</v>
      </c>
      <c r="N53">
        <v>14</v>
      </c>
      <c r="O53" s="249">
        <v>73576</v>
      </c>
      <c r="P53" s="427">
        <v>697</v>
      </c>
      <c r="Q53">
        <v>5</v>
      </c>
      <c r="R53">
        <v>3730</v>
      </c>
      <c r="S53" s="427">
        <v>88</v>
      </c>
      <c r="T53" s="249">
        <v>0</v>
      </c>
      <c r="U53">
        <v>0</v>
      </c>
      <c r="V53" s="249">
        <v>0</v>
      </c>
      <c r="W53" s="249">
        <v>77306</v>
      </c>
      <c r="X53">
        <v>40</v>
      </c>
      <c r="Y53" s="249"/>
      <c r="Z53" s="249"/>
      <c r="AD53" s="249"/>
      <c r="AE53" s="249"/>
    </row>
    <row r="54" spans="3:31" ht="15" customHeight="1" x14ac:dyDescent="0.35">
      <c r="C54">
        <v>50</v>
      </c>
      <c r="D54">
        <v>53</v>
      </c>
      <c r="E54">
        <v>1</v>
      </c>
      <c r="F54">
        <v>1</v>
      </c>
      <c r="G54" t="s">
        <v>269</v>
      </c>
      <c r="H54" t="s">
        <v>270</v>
      </c>
      <c r="I54" t="s">
        <v>227</v>
      </c>
      <c r="J54">
        <v>5</v>
      </c>
      <c r="K54">
        <v>6</v>
      </c>
      <c r="L54" s="249" t="s">
        <v>220</v>
      </c>
      <c r="M54">
        <v>1970</v>
      </c>
      <c r="N54">
        <v>2</v>
      </c>
      <c r="O54" s="249">
        <v>15505</v>
      </c>
      <c r="P54" s="427">
        <v>92</v>
      </c>
      <c r="Q54">
        <v>1</v>
      </c>
      <c r="R54">
        <v>788</v>
      </c>
      <c r="S54" s="427">
        <v>25</v>
      </c>
      <c r="T54" s="249">
        <v>0</v>
      </c>
      <c r="U54">
        <v>0</v>
      </c>
      <c r="V54" s="249">
        <v>0</v>
      </c>
      <c r="W54" s="249">
        <v>16293</v>
      </c>
      <c r="X54">
        <v>11</v>
      </c>
      <c r="Y54" s="249"/>
      <c r="Z54" s="249"/>
      <c r="AD54" s="249"/>
      <c r="AE54" s="249"/>
    </row>
    <row r="55" spans="3:31" ht="15" customHeight="1" x14ac:dyDescent="0.35">
      <c r="C55">
        <v>51</v>
      </c>
      <c r="D55">
        <v>54</v>
      </c>
      <c r="E55">
        <v>4</v>
      </c>
      <c r="F55">
        <v>1</v>
      </c>
      <c r="G55" t="s">
        <v>271</v>
      </c>
      <c r="H55" t="s">
        <v>272</v>
      </c>
      <c r="I55" t="s">
        <v>227</v>
      </c>
      <c r="J55">
        <v>5</v>
      </c>
      <c r="K55">
        <v>11</v>
      </c>
      <c r="L55" s="249" t="s">
        <v>171</v>
      </c>
      <c r="M55">
        <v>1965</v>
      </c>
      <c r="N55">
        <v>4</v>
      </c>
      <c r="O55" s="249">
        <v>71201</v>
      </c>
      <c r="P55" s="427">
        <v>707</v>
      </c>
      <c r="Q55">
        <v>4</v>
      </c>
      <c r="R55">
        <v>3152</v>
      </c>
      <c r="S55" s="427">
        <v>66</v>
      </c>
      <c r="T55" s="249">
        <v>0</v>
      </c>
      <c r="U55">
        <v>0</v>
      </c>
      <c r="V55" s="249">
        <v>0</v>
      </c>
      <c r="W55" s="249">
        <v>74353</v>
      </c>
      <c r="X55">
        <v>40</v>
      </c>
      <c r="Y55" s="249"/>
      <c r="Z55" s="249"/>
      <c r="AD55" s="249"/>
      <c r="AE55" s="249"/>
    </row>
    <row r="56" spans="3:31" ht="15" customHeight="1" x14ac:dyDescent="0.35">
      <c r="C56">
        <v>52</v>
      </c>
      <c r="D56">
        <v>55</v>
      </c>
      <c r="E56">
        <v>4</v>
      </c>
      <c r="F56">
        <v>1</v>
      </c>
      <c r="G56" t="s">
        <v>273</v>
      </c>
      <c r="H56" t="s">
        <v>274</v>
      </c>
      <c r="I56" t="s">
        <v>227</v>
      </c>
      <c r="J56">
        <v>5</v>
      </c>
      <c r="K56">
        <v>15</v>
      </c>
      <c r="L56" s="249" t="s">
        <v>171</v>
      </c>
      <c r="M56">
        <v>1967</v>
      </c>
      <c r="N56">
        <v>5</v>
      </c>
      <c r="O56" s="249">
        <v>90661</v>
      </c>
      <c r="P56" s="427">
        <v>645</v>
      </c>
      <c r="Q56">
        <v>6</v>
      </c>
      <c r="R56">
        <v>4728</v>
      </c>
      <c r="S56" s="427">
        <v>88</v>
      </c>
      <c r="T56" s="249">
        <v>0</v>
      </c>
      <c r="U56">
        <v>0</v>
      </c>
      <c r="V56" s="249">
        <v>0</v>
      </c>
      <c r="W56" s="249">
        <v>95389</v>
      </c>
      <c r="X56">
        <v>38</v>
      </c>
      <c r="Y56" s="249"/>
      <c r="Z56" s="249"/>
      <c r="AD56" s="249"/>
      <c r="AE56" s="249"/>
    </row>
    <row r="57" spans="3:31" ht="18" customHeight="1" x14ac:dyDescent="0.35">
      <c r="C57">
        <v>53</v>
      </c>
      <c r="D57">
        <v>56</v>
      </c>
      <c r="E57">
        <v>4</v>
      </c>
      <c r="F57">
        <v>1</v>
      </c>
      <c r="G57" t="s">
        <v>275</v>
      </c>
      <c r="H57" t="s">
        <v>276</v>
      </c>
      <c r="I57" t="s">
        <v>227</v>
      </c>
      <c r="J57">
        <v>5</v>
      </c>
      <c r="K57">
        <v>28</v>
      </c>
      <c r="L57" s="249" t="s">
        <v>191</v>
      </c>
      <c r="M57">
        <v>1986</v>
      </c>
      <c r="N57">
        <v>10</v>
      </c>
      <c r="O57" s="249">
        <v>114943</v>
      </c>
      <c r="P57" s="427">
        <v>689</v>
      </c>
      <c r="Q57">
        <v>3</v>
      </c>
      <c r="R57">
        <v>2800</v>
      </c>
      <c r="S57" s="427">
        <v>66</v>
      </c>
      <c r="T57" s="249">
        <v>0</v>
      </c>
      <c r="U57">
        <v>0</v>
      </c>
      <c r="V57" s="249">
        <v>0</v>
      </c>
      <c r="W57" s="249">
        <v>117743</v>
      </c>
      <c r="X57">
        <v>39</v>
      </c>
      <c r="Y57" s="249"/>
      <c r="Z57" s="249"/>
      <c r="AD57" s="249"/>
      <c r="AE57" s="249"/>
    </row>
    <row r="58" spans="3:31" ht="18" customHeight="1" x14ac:dyDescent="0.35">
      <c r="C58">
        <v>54</v>
      </c>
      <c r="D58">
        <v>57</v>
      </c>
      <c r="E58">
        <v>7</v>
      </c>
      <c r="F58">
        <v>1</v>
      </c>
      <c r="G58" t="s">
        <v>277</v>
      </c>
      <c r="H58" t="s">
        <v>278</v>
      </c>
      <c r="I58" t="s">
        <v>279</v>
      </c>
      <c r="J58">
        <v>5</v>
      </c>
      <c r="K58">
        <v>46</v>
      </c>
      <c r="L58" s="249" t="s">
        <v>168</v>
      </c>
      <c r="M58" s="249">
        <v>1964</v>
      </c>
      <c r="N58">
        <v>31</v>
      </c>
      <c r="O58" s="249">
        <v>266331</v>
      </c>
      <c r="P58" s="430">
        <v>1944</v>
      </c>
      <c r="Q58">
        <v>10</v>
      </c>
      <c r="R58">
        <v>7674</v>
      </c>
      <c r="S58" s="427">
        <v>125</v>
      </c>
      <c r="T58" s="249">
        <v>0</v>
      </c>
      <c r="U58">
        <v>0</v>
      </c>
      <c r="V58" s="249">
        <v>0</v>
      </c>
      <c r="W58" s="249">
        <v>274005</v>
      </c>
      <c r="X58">
        <v>89</v>
      </c>
      <c r="Y58" s="249"/>
      <c r="Z58" s="249"/>
      <c r="AD58" s="249"/>
      <c r="AE58" s="249"/>
    </row>
    <row r="59" spans="3:31" ht="18" customHeight="1" x14ac:dyDescent="0.35">
      <c r="C59">
        <v>55</v>
      </c>
      <c r="D59">
        <v>58</v>
      </c>
      <c r="E59">
        <v>9</v>
      </c>
      <c r="F59">
        <v>1</v>
      </c>
      <c r="G59" t="s">
        <v>280</v>
      </c>
      <c r="H59" t="s">
        <v>281</v>
      </c>
      <c r="I59" t="s">
        <v>279</v>
      </c>
      <c r="J59">
        <v>5</v>
      </c>
      <c r="K59">
        <v>26</v>
      </c>
      <c r="L59" s="249" t="s">
        <v>220</v>
      </c>
      <c r="M59" s="249">
        <v>1957</v>
      </c>
      <c r="N59">
        <v>19</v>
      </c>
      <c r="O59" s="249">
        <v>151947</v>
      </c>
      <c r="P59" s="430">
        <v>1195</v>
      </c>
      <c r="Q59">
        <v>6</v>
      </c>
      <c r="R59">
        <v>4836</v>
      </c>
      <c r="S59" s="427">
        <v>91</v>
      </c>
      <c r="T59" s="249">
        <v>0</v>
      </c>
      <c r="U59">
        <v>131</v>
      </c>
      <c r="V59" s="249">
        <v>0</v>
      </c>
      <c r="W59" s="249">
        <v>156914</v>
      </c>
      <c r="X59">
        <v>52</v>
      </c>
      <c r="Y59" s="249"/>
      <c r="Z59" s="249"/>
      <c r="AD59" s="249"/>
      <c r="AE59" s="249"/>
    </row>
    <row r="60" spans="3:31" ht="18" customHeight="1" x14ac:dyDescent="0.35">
      <c r="C60">
        <v>56</v>
      </c>
      <c r="D60">
        <v>59</v>
      </c>
      <c r="E60">
        <v>4</v>
      </c>
      <c r="F60">
        <v>1</v>
      </c>
      <c r="G60" t="s">
        <v>282</v>
      </c>
      <c r="H60" t="s">
        <v>283</v>
      </c>
      <c r="I60" t="s">
        <v>279</v>
      </c>
      <c r="J60">
        <v>5</v>
      </c>
      <c r="K60">
        <v>29</v>
      </c>
      <c r="L60" s="249" t="s">
        <v>171</v>
      </c>
      <c r="M60">
        <v>1950</v>
      </c>
      <c r="N60">
        <v>14</v>
      </c>
      <c r="O60" s="249">
        <v>87819</v>
      </c>
      <c r="P60" s="427">
        <v>618</v>
      </c>
      <c r="Q60">
        <v>0</v>
      </c>
      <c r="R60">
        <v>0</v>
      </c>
      <c r="S60" s="427">
        <v>0</v>
      </c>
      <c r="T60" s="249">
        <v>0</v>
      </c>
      <c r="U60">
        <v>0</v>
      </c>
      <c r="V60" s="249">
        <v>0</v>
      </c>
      <c r="W60" s="249">
        <v>87819</v>
      </c>
      <c r="X60">
        <v>33</v>
      </c>
      <c r="Y60" s="249"/>
      <c r="Z60" s="249"/>
      <c r="AD60" s="249"/>
      <c r="AE60" s="249"/>
    </row>
    <row r="61" spans="3:31" ht="18" customHeight="1" x14ac:dyDescent="0.35">
      <c r="C61">
        <v>57</v>
      </c>
      <c r="D61">
        <v>60</v>
      </c>
      <c r="E61">
        <v>4</v>
      </c>
      <c r="F61">
        <v>1</v>
      </c>
      <c r="G61" t="s">
        <v>284</v>
      </c>
      <c r="H61" t="s">
        <v>285</v>
      </c>
      <c r="I61" t="s">
        <v>279</v>
      </c>
      <c r="J61">
        <v>5</v>
      </c>
      <c r="K61">
        <v>16</v>
      </c>
      <c r="L61" s="249" t="s">
        <v>191</v>
      </c>
      <c r="M61">
        <v>1961</v>
      </c>
      <c r="N61">
        <v>10</v>
      </c>
      <c r="O61" s="249">
        <v>103162</v>
      </c>
      <c r="P61" s="427">
        <v>910</v>
      </c>
      <c r="Q61">
        <v>0</v>
      </c>
      <c r="R61">
        <v>0</v>
      </c>
      <c r="S61" s="427">
        <v>0</v>
      </c>
      <c r="T61" s="249">
        <v>0</v>
      </c>
      <c r="U61">
        <v>0</v>
      </c>
      <c r="V61" s="249">
        <v>0</v>
      </c>
      <c r="W61" s="249">
        <v>103162</v>
      </c>
      <c r="X61">
        <v>48</v>
      </c>
      <c r="Y61" s="249"/>
      <c r="Z61" s="249"/>
      <c r="AD61" s="249"/>
      <c r="AE61" s="249"/>
    </row>
    <row r="62" spans="3:31" ht="18" customHeight="1" x14ac:dyDescent="0.35">
      <c r="C62">
        <v>58</v>
      </c>
      <c r="D62">
        <v>61</v>
      </c>
      <c r="E62">
        <v>4</v>
      </c>
      <c r="F62">
        <v>1</v>
      </c>
      <c r="G62" t="s">
        <v>286</v>
      </c>
      <c r="H62" t="s">
        <v>287</v>
      </c>
      <c r="I62" t="s">
        <v>279</v>
      </c>
      <c r="J62">
        <v>5</v>
      </c>
      <c r="K62">
        <v>18</v>
      </c>
      <c r="L62" s="249" t="s">
        <v>171</v>
      </c>
      <c r="M62">
        <v>1963</v>
      </c>
      <c r="N62">
        <v>13</v>
      </c>
      <c r="O62" s="249">
        <v>86347</v>
      </c>
      <c r="P62" s="427">
        <v>761</v>
      </c>
      <c r="Q62">
        <v>0</v>
      </c>
      <c r="R62">
        <v>0</v>
      </c>
      <c r="S62" s="427">
        <v>0</v>
      </c>
      <c r="T62" s="249">
        <v>0</v>
      </c>
      <c r="U62">
        <v>0</v>
      </c>
      <c r="V62" s="249">
        <v>0</v>
      </c>
      <c r="W62" s="249">
        <v>86347</v>
      </c>
      <c r="X62">
        <v>40</v>
      </c>
      <c r="Y62" s="249"/>
      <c r="Z62" s="249"/>
      <c r="AD62" s="249"/>
      <c r="AE62" s="249"/>
    </row>
    <row r="63" spans="3:31" ht="18" customHeight="1" x14ac:dyDescent="0.35">
      <c r="C63">
        <v>59</v>
      </c>
      <c r="D63">
        <v>62</v>
      </c>
      <c r="E63">
        <v>10</v>
      </c>
      <c r="F63">
        <v>1</v>
      </c>
      <c r="G63" t="s">
        <v>288</v>
      </c>
      <c r="H63" t="s">
        <v>289</v>
      </c>
      <c r="I63" t="s">
        <v>279</v>
      </c>
      <c r="J63">
        <v>5</v>
      </c>
      <c r="K63">
        <v>14</v>
      </c>
      <c r="L63" s="249" t="s">
        <v>220</v>
      </c>
      <c r="M63">
        <v>1965</v>
      </c>
      <c r="N63">
        <v>4</v>
      </c>
      <c r="O63" s="249">
        <v>73971</v>
      </c>
      <c r="P63" s="427">
        <v>681</v>
      </c>
      <c r="Q63">
        <v>0</v>
      </c>
      <c r="R63">
        <v>0</v>
      </c>
      <c r="S63" s="427">
        <v>0</v>
      </c>
      <c r="T63" s="249">
        <v>0</v>
      </c>
      <c r="U63">
        <v>0</v>
      </c>
      <c r="V63" s="249">
        <v>0</v>
      </c>
      <c r="W63" s="249">
        <v>73971</v>
      </c>
      <c r="X63">
        <v>34</v>
      </c>
      <c r="Y63" s="249"/>
      <c r="Z63" s="249"/>
      <c r="AD63" s="249"/>
      <c r="AE63" s="249"/>
    </row>
    <row r="64" spans="3:31" ht="18" customHeight="1" x14ac:dyDescent="0.35">
      <c r="C64">
        <v>60</v>
      </c>
      <c r="D64">
        <v>63</v>
      </c>
      <c r="E64">
        <v>5</v>
      </c>
      <c r="F64">
        <v>1</v>
      </c>
      <c r="G64" t="s">
        <v>290</v>
      </c>
      <c r="H64" t="s">
        <v>291</v>
      </c>
      <c r="I64" t="s">
        <v>279</v>
      </c>
      <c r="J64">
        <v>5</v>
      </c>
      <c r="K64">
        <v>28</v>
      </c>
      <c r="L64" s="249" t="s">
        <v>174</v>
      </c>
      <c r="M64">
        <v>1967</v>
      </c>
      <c r="N64">
        <v>4</v>
      </c>
      <c r="O64" s="249">
        <v>116752</v>
      </c>
      <c r="P64" s="427">
        <v>970</v>
      </c>
      <c r="Q64">
        <v>0</v>
      </c>
      <c r="R64">
        <v>0</v>
      </c>
      <c r="S64" s="427">
        <v>0</v>
      </c>
      <c r="T64" s="249">
        <v>0</v>
      </c>
      <c r="U64">
        <v>0</v>
      </c>
      <c r="V64" s="249">
        <v>0</v>
      </c>
      <c r="W64" s="249">
        <v>116752</v>
      </c>
      <c r="X64">
        <v>42</v>
      </c>
      <c r="Y64" s="249"/>
      <c r="Z64" s="249"/>
      <c r="AD64" s="249"/>
      <c r="AE64" s="249"/>
    </row>
    <row r="65" spans="3:31" ht="18" customHeight="1" x14ac:dyDescent="0.35">
      <c r="C65">
        <v>61</v>
      </c>
      <c r="D65">
        <v>64</v>
      </c>
      <c r="E65">
        <v>4</v>
      </c>
      <c r="F65">
        <v>1</v>
      </c>
      <c r="G65" t="s">
        <v>292</v>
      </c>
      <c r="H65" t="s">
        <v>293</v>
      </c>
      <c r="I65" t="s">
        <v>279</v>
      </c>
      <c r="J65">
        <v>5</v>
      </c>
      <c r="K65">
        <v>16</v>
      </c>
      <c r="L65" s="249" t="s">
        <v>191</v>
      </c>
      <c r="M65">
        <v>1967</v>
      </c>
      <c r="N65">
        <v>4</v>
      </c>
      <c r="O65" s="249">
        <v>96209</v>
      </c>
      <c r="P65" s="427">
        <v>751</v>
      </c>
      <c r="Q65">
        <v>0</v>
      </c>
      <c r="R65">
        <v>0</v>
      </c>
      <c r="S65" s="427">
        <v>0</v>
      </c>
      <c r="T65" s="249">
        <v>0</v>
      </c>
      <c r="U65">
        <v>0</v>
      </c>
      <c r="V65" s="249">
        <v>0</v>
      </c>
      <c r="W65" s="249">
        <v>96209</v>
      </c>
      <c r="X65">
        <v>39</v>
      </c>
      <c r="Y65" s="249"/>
      <c r="Z65" s="249"/>
      <c r="AD65" s="249"/>
      <c r="AE65" s="249"/>
    </row>
    <row r="66" spans="3:31" ht="18" customHeight="1" x14ac:dyDescent="0.35">
      <c r="C66">
        <v>62</v>
      </c>
      <c r="D66">
        <v>65</v>
      </c>
      <c r="E66">
        <v>9</v>
      </c>
      <c r="F66">
        <v>1</v>
      </c>
      <c r="G66" t="s">
        <v>130</v>
      </c>
      <c r="H66" t="s">
        <v>294</v>
      </c>
      <c r="I66" t="s">
        <v>295</v>
      </c>
      <c r="J66">
        <v>5</v>
      </c>
      <c r="K66">
        <v>40</v>
      </c>
      <c r="L66" s="249" t="s">
        <v>220</v>
      </c>
      <c r="M66" s="249">
        <v>1957</v>
      </c>
      <c r="N66">
        <v>20</v>
      </c>
      <c r="O66" s="249">
        <v>217445</v>
      </c>
      <c r="P66" s="430">
        <v>1304</v>
      </c>
      <c r="Q66">
        <v>17</v>
      </c>
      <c r="R66">
        <v>13072</v>
      </c>
      <c r="S66" s="427">
        <v>350</v>
      </c>
      <c r="T66" s="249">
        <v>0</v>
      </c>
      <c r="U66">
        <v>0</v>
      </c>
      <c r="V66" s="249">
        <v>0</v>
      </c>
      <c r="W66" s="249">
        <v>230517</v>
      </c>
      <c r="X66">
        <v>70</v>
      </c>
      <c r="Y66" s="249"/>
      <c r="Z66" s="249"/>
      <c r="AD66" s="249"/>
      <c r="AE66" s="249"/>
    </row>
    <row r="67" spans="3:31" x14ac:dyDescent="0.35">
      <c r="C67">
        <v>63</v>
      </c>
      <c r="D67">
        <v>66</v>
      </c>
      <c r="E67">
        <v>4</v>
      </c>
      <c r="F67">
        <v>2</v>
      </c>
      <c r="G67" t="s">
        <v>296</v>
      </c>
      <c r="H67" t="s">
        <v>297</v>
      </c>
      <c r="I67" t="s">
        <v>295</v>
      </c>
      <c r="J67">
        <v>5</v>
      </c>
      <c r="K67">
        <v>25</v>
      </c>
      <c r="L67" s="249" t="s">
        <v>171</v>
      </c>
      <c r="M67">
        <v>1966</v>
      </c>
      <c r="N67">
        <v>3</v>
      </c>
      <c r="O67" s="249">
        <v>103357</v>
      </c>
      <c r="P67" s="427">
        <v>599</v>
      </c>
      <c r="Q67">
        <v>0</v>
      </c>
      <c r="R67">
        <v>0</v>
      </c>
      <c r="S67" s="427">
        <v>0</v>
      </c>
      <c r="T67" s="249">
        <v>0</v>
      </c>
      <c r="U67">
        <v>0</v>
      </c>
      <c r="V67" s="249">
        <v>0</v>
      </c>
      <c r="W67" s="249">
        <v>103357</v>
      </c>
      <c r="X67">
        <v>31</v>
      </c>
      <c r="Y67" s="249"/>
      <c r="Z67" s="249"/>
      <c r="AD67" s="249"/>
      <c r="AE67" s="249"/>
    </row>
    <row r="68" spans="3:31" ht="18" customHeight="1" x14ac:dyDescent="0.35">
      <c r="C68">
        <v>64</v>
      </c>
      <c r="D68">
        <v>67</v>
      </c>
      <c r="E68">
        <v>4</v>
      </c>
      <c r="F68">
        <v>1</v>
      </c>
      <c r="G68" t="s">
        <v>298</v>
      </c>
      <c r="H68" t="s">
        <v>299</v>
      </c>
      <c r="I68" t="s">
        <v>295</v>
      </c>
      <c r="J68">
        <v>5</v>
      </c>
      <c r="K68">
        <v>11</v>
      </c>
      <c r="L68" s="249" t="s">
        <v>191</v>
      </c>
      <c r="M68">
        <v>1957</v>
      </c>
      <c r="N68">
        <v>11</v>
      </c>
      <c r="O68" s="249">
        <v>58057</v>
      </c>
      <c r="P68" s="427">
        <v>453</v>
      </c>
      <c r="Q68">
        <v>1</v>
      </c>
      <c r="R68">
        <v>788</v>
      </c>
      <c r="S68" s="427">
        <v>22</v>
      </c>
      <c r="T68" s="249">
        <v>0</v>
      </c>
      <c r="U68">
        <v>0</v>
      </c>
      <c r="V68" s="249">
        <v>0</v>
      </c>
      <c r="W68" s="249">
        <v>58845</v>
      </c>
      <c r="X68">
        <v>25</v>
      </c>
      <c r="Y68" s="249"/>
      <c r="Z68" s="249"/>
      <c r="AD68" s="249"/>
      <c r="AE68" s="249"/>
    </row>
    <row r="69" spans="3:31" ht="18" customHeight="1" x14ac:dyDescent="0.35">
      <c r="C69">
        <v>65</v>
      </c>
      <c r="D69">
        <v>68</v>
      </c>
      <c r="E69">
        <v>4</v>
      </c>
      <c r="F69">
        <v>1</v>
      </c>
      <c r="G69" t="s">
        <v>300</v>
      </c>
      <c r="H69" t="s">
        <v>301</v>
      </c>
      <c r="I69" t="s">
        <v>302</v>
      </c>
      <c r="J69">
        <v>5</v>
      </c>
      <c r="K69">
        <v>11</v>
      </c>
      <c r="L69" s="249" t="s">
        <v>171</v>
      </c>
      <c r="M69">
        <v>1963</v>
      </c>
      <c r="N69">
        <v>10</v>
      </c>
      <c r="O69" s="249">
        <v>64242</v>
      </c>
      <c r="P69" s="427">
        <v>570</v>
      </c>
      <c r="Q69">
        <v>0</v>
      </c>
      <c r="R69">
        <v>0</v>
      </c>
      <c r="S69" s="427">
        <v>0</v>
      </c>
      <c r="T69" s="249">
        <v>0</v>
      </c>
      <c r="U69">
        <v>0</v>
      </c>
      <c r="V69" s="249">
        <v>0</v>
      </c>
      <c r="W69" s="249">
        <v>64242</v>
      </c>
      <c r="X69">
        <v>30</v>
      </c>
      <c r="Y69" s="249"/>
      <c r="Z69" s="249"/>
      <c r="AD69" s="249"/>
      <c r="AE69" s="249"/>
    </row>
    <row r="70" spans="3:31" ht="18" customHeight="1" x14ac:dyDescent="0.35">
      <c r="C70">
        <v>66</v>
      </c>
      <c r="D70">
        <v>69</v>
      </c>
      <c r="E70">
        <v>7</v>
      </c>
      <c r="F70">
        <v>1</v>
      </c>
      <c r="G70" t="s">
        <v>303</v>
      </c>
      <c r="H70" t="s">
        <v>304</v>
      </c>
      <c r="I70" t="s">
        <v>305</v>
      </c>
      <c r="J70">
        <v>5</v>
      </c>
      <c r="K70">
        <v>30</v>
      </c>
      <c r="L70" s="249" t="s">
        <v>168</v>
      </c>
      <c r="M70" s="249">
        <v>1961</v>
      </c>
      <c r="N70">
        <v>33</v>
      </c>
      <c r="O70" s="249">
        <v>262830</v>
      </c>
      <c r="P70" s="430">
        <v>1582</v>
      </c>
      <c r="Q70">
        <v>7</v>
      </c>
      <c r="R70">
        <v>5466</v>
      </c>
      <c r="S70" s="427">
        <v>50</v>
      </c>
      <c r="T70" s="249">
        <v>0</v>
      </c>
      <c r="U70">
        <v>0</v>
      </c>
      <c r="V70" s="249">
        <v>0</v>
      </c>
      <c r="W70" s="249">
        <v>268296</v>
      </c>
      <c r="X70">
        <v>68</v>
      </c>
      <c r="Y70" s="249"/>
      <c r="Z70" s="249"/>
      <c r="AD70" s="249"/>
      <c r="AE70" s="249"/>
    </row>
    <row r="71" spans="3:31" ht="18" customHeight="1" x14ac:dyDescent="0.35">
      <c r="C71">
        <v>67</v>
      </c>
      <c r="D71">
        <v>70</v>
      </c>
      <c r="E71">
        <v>5</v>
      </c>
      <c r="F71">
        <v>1</v>
      </c>
      <c r="G71" t="s">
        <v>131</v>
      </c>
      <c r="H71" t="s">
        <v>306</v>
      </c>
      <c r="I71" t="s">
        <v>305</v>
      </c>
      <c r="J71">
        <v>5</v>
      </c>
      <c r="K71">
        <v>20</v>
      </c>
      <c r="L71" s="249" t="s">
        <v>174</v>
      </c>
      <c r="M71" s="249">
        <v>1961</v>
      </c>
      <c r="N71">
        <v>2</v>
      </c>
      <c r="O71" s="249">
        <v>111282</v>
      </c>
      <c r="P71" s="430">
        <v>1067</v>
      </c>
      <c r="Q71">
        <v>0</v>
      </c>
      <c r="R71">
        <v>0</v>
      </c>
      <c r="S71" s="427">
        <v>0</v>
      </c>
      <c r="T71" s="249">
        <v>0</v>
      </c>
      <c r="U71">
        <v>0</v>
      </c>
      <c r="V71" s="249">
        <v>0</v>
      </c>
      <c r="W71" s="249">
        <v>111282</v>
      </c>
      <c r="X71">
        <v>47</v>
      </c>
      <c r="Y71" s="249"/>
      <c r="Z71" s="249"/>
      <c r="AD71" s="249"/>
      <c r="AE71" s="249"/>
    </row>
    <row r="72" spans="3:31" ht="18" customHeight="1" x14ac:dyDescent="0.35">
      <c r="C72">
        <v>68</v>
      </c>
      <c r="D72">
        <v>71</v>
      </c>
      <c r="E72">
        <v>4</v>
      </c>
      <c r="F72">
        <v>1</v>
      </c>
      <c r="G72" t="s">
        <v>307</v>
      </c>
      <c r="H72" t="s">
        <v>308</v>
      </c>
      <c r="I72" t="s">
        <v>305</v>
      </c>
      <c r="J72">
        <v>5</v>
      </c>
      <c r="K72">
        <v>20</v>
      </c>
      <c r="L72" s="249" t="s">
        <v>171</v>
      </c>
      <c r="M72">
        <v>1961</v>
      </c>
      <c r="N72">
        <v>3</v>
      </c>
      <c r="O72" s="249">
        <v>76462</v>
      </c>
      <c r="P72" s="427">
        <v>605</v>
      </c>
      <c r="Q72">
        <v>0</v>
      </c>
      <c r="R72">
        <v>0</v>
      </c>
      <c r="S72" s="427">
        <v>0</v>
      </c>
      <c r="T72" s="249">
        <v>0</v>
      </c>
      <c r="U72">
        <v>0</v>
      </c>
      <c r="V72" s="249">
        <v>0</v>
      </c>
      <c r="W72" s="249">
        <v>76462</v>
      </c>
      <c r="X72">
        <v>32</v>
      </c>
      <c r="Y72" s="249"/>
      <c r="Z72" s="249"/>
      <c r="AD72" s="249"/>
      <c r="AE72" s="249"/>
    </row>
    <row r="73" spans="3:31" ht="18" customHeight="1" x14ac:dyDescent="0.35">
      <c r="C73">
        <v>69</v>
      </c>
      <c r="D73">
        <v>72</v>
      </c>
      <c r="E73">
        <v>4</v>
      </c>
      <c r="F73">
        <v>1</v>
      </c>
      <c r="G73" t="s">
        <v>309</v>
      </c>
      <c r="H73" t="s">
        <v>310</v>
      </c>
      <c r="I73" t="s">
        <v>305</v>
      </c>
      <c r="J73">
        <v>5</v>
      </c>
      <c r="K73">
        <v>12</v>
      </c>
      <c r="L73" s="249" t="s">
        <v>171</v>
      </c>
      <c r="M73">
        <v>1958</v>
      </c>
      <c r="N73">
        <v>12</v>
      </c>
      <c r="O73" s="249">
        <v>55596</v>
      </c>
      <c r="P73" s="427">
        <v>461</v>
      </c>
      <c r="Q73">
        <v>0</v>
      </c>
      <c r="R73">
        <v>0</v>
      </c>
      <c r="S73" s="427">
        <v>0</v>
      </c>
      <c r="T73" s="249">
        <v>0</v>
      </c>
      <c r="U73">
        <v>0</v>
      </c>
      <c r="V73" s="249">
        <v>0</v>
      </c>
      <c r="W73" s="249">
        <v>55596</v>
      </c>
      <c r="X73">
        <v>24</v>
      </c>
      <c r="Y73" s="249"/>
      <c r="Z73" s="249"/>
      <c r="AD73" s="249"/>
      <c r="AE73" s="249"/>
    </row>
    <row r="74" spans="3:31" ht="21" customHeight="1" x14ac:dyDescent="0.35">
      <c r="C74">
        <v>70</v>
      </c>
      <c r="D74">
        <v>73</v>
      </c>
      <c r="E74">
        <v>4</v>
      </c>
      <c r="F74">
        <v>1</v>
      </c>
      <c r="G74" t="s">
        <v>311</v>
      </c>
      <c r="H74" t="s">
        <v>312</v>
      </c>
      <c r="I74" t="s">
        <v>305</v>
      </c>
      <c r="J74">
        <v>5</v>
      </c>
      <c r="K74">
        <v>12</v>
      </c>
      <c r="L74" s="249" t="s">
        <v>191</v>
      </c>
      <c r="M74">
        <v>1961</v>
      </c>
      <c r="N74">
        <v>15</v>
      </c>
      <c r="O74" s="249">
        <v>55623</v>
      </c>
      <c r="P74" s="427">
        <v>421</v>
      </c>
      <c r="Q74">
        <v>6</v>
      </c>
      <c r="R74">
        <v>4792</v>
      </c>
      <c r="S74" s="427">
        <v>120</v>
      </c>
      <c r="T74" s="249">
        <v>0</v>
      </c>
      <c r="U74">
        <v>0</v>
      </c>
      <c r="V74" s="249">
        <v>0</v>
      </c>
      <c r="W74" s="249">
        <v>60415</v>
      </c>
      <c r="X74">
        <v>28</v>
      </c>
      <c r="Y74" s="249"/>
      <c r="Z74" s="249"/>
      <c r="AD74" s="249"/>
      <c r="AE74" s="249"/>
    </row>
    <row r="75" spans="3:31" ht="15" customHeight="1" x14ac:dyDescent="0.35">
      <c r="C75">
        <v>71</v>
      </c>
      <c r="D75">
        <v>74</v>
      </c>
      <c r="E75">
        <v>4</v>
      </c>
      <c r="F75">
        <v>1</v>
      </c>
      <c r="G75" t="s">
        <v>313</v>
      </c>
      <c r="H75" t="s">
        <v>314</v>
      </c>
      <c r="I75" t="s">
        <v>315</v>
      </c>
      <c r="J75">
        <v>5</v>
      </c>
      <c r="K75">
        <v>16</v>
      </c>
      <c r="L75" s="249" t="s">
        <v>171</v>
      </c>
      <c r="M75">
        <v>1964</v>
      </c>
      <c r="N75">
        <v>4</v>
      </c>
      <c r="O75" s="249">
        <v>69543</v>
      </c>
      <c r="P75" s="427">
        <v>498</v>
      </c>
      <c r="Q75">
        <v>9</v>
      </c>
      <c r="R75">
        <v>6882</v>
      </c>
      <c r="S75" s="427">
        <v>156</v>
      </c>
      <c r="T75" s="249">
        <v>0</v>
      </c>
      <c r="U75">
        <v>0</v>
      </c>
      <c r="V75" s="249">
        <v>0</v>
      </c>
      <c r="W75" s="249">
        <v>76425</v>
      </c>
      <c r="X75">
        <v>35</v>
      </c>
      <c r="Y75" s="249"/>
      <c r="Z75" s="249"/>
      <c r="AD75" s="249"/>
      <c r="AE75" s="249"/>
    </row>
    <row r="76" spans="3:31" ht="15" customHeight="1" x14ac:dyDescent="0.35">
      <c r="C76">
        <v>72</v>
      </c>
      <c r="D76">
        <v>75</v>
      </c>
      <c r="E76">
        <v>4</v>
      </c>
      <c r="F76">
        <v>1</v>
      </c>
      <c r="G76" t="s">
        <v>316</v>
      </c>
      <c r="H76" t="s">
        <v>317</v>
      </c>
      <c r="I76" t="s">
        <v>123</v>
      </c>
      <c r="J76">
        <v>5</v>
      </c>
      <c r="K76">
        <v>12</v>
      </c>
      <c r="L76" s="249" t="s">
        <v>191</v>
      </c>
      <c r="M76">
        <v>1956</v>
      </c>
      <c r="N76">
        <v>15</v>
      </c>
      <c r="O76" s="249">
        <v>99084</v>
      </c>
      <c r="P76" s="427">
        <v>754</v>
      </c>
      <c r="Q76">
        <v>2</v>
      </c>
      <c r="R76">
        <v>1570</v>
      </c>
      <c r="S76" s="427">
        <v>44</v>
      </c>
      <c r="T76" s="249">
        <v>0</v>
      </c>
      <c r="U76">
        <v>0</v>
      </c>
      <c r="V76" s="249">
        <v>0</v>
      </c>
      <c r="W76" s="249">
        <v>100654</v>
      </c>
      <c r="X76">
        <v>42</v>
      </c>
      <c r="Y76" s="249"/>
      <c r="Z76" s="249"/>
      <c r="AD76" s="249"/>
      <c r="AE76" s="249"/>
    </row>
    <row r="77" spans="3:31" ht="18" customHeight="1" x14ac:dyDescent="0.35">
      <c r="C77">
        <v>73</v>
      </c>
      <c r="D77">
        <v>76</v>
      </c>
      <c r="E77">
        <v>5</v>
      </c>
      <c r="F77">
        <v>1</v>
      </c>
      <c r="G77" t="s">
        <v>318</v>
      </c>
      <c r="H77" t="s">
        <v>319</v>
      </c>
      <c r="I77" t="s">
        <v>123</v>
      </c>
      <c r="J77">
        <v>5</v>
      </c>
      <c r="K77">
        <v>32</v>
      </c>
      <c r="L77" s="249" t="s">
        <v>174</v>
      </c>
      <c r="M77">
        <v>1965</v>
      </c>
      <c r="N77">
        <v>2</v>
      </c>
      <c r="O77" s="249">
        <v>103679</v>
      </c>
      <c r="P77" s="427">
        <v>755</v>
      </c>
      <c r="Q77">
        <v>0</v>
      </c>
      <c r="R77">
        <v>0</v>
      </c>
      <c r="S77" s="427">
        <v>0</v>
      </c>
      <c r="T77" s="249">
        <v>0</v>
      </c>
      <c r="U77">
        <v>0</v>
      </c>
      <c r="V77" s="249">
        <v>0</v>
      </c>
      <c r="W77" s="249">
        <v>103679</v>
      </c>
      <c r="X77">
        <v>33</v>
      </c>
      <c r="Y77" s="249"/>
      <c r="Z77" s="249"/>
      <c r="AD77" s="249"/>
      <c r="AE77" s="249"/>
    </row>
    <row r="78" spans="3:31" ht="15" customHeight="1" x14ac:dyDescent="0.35">
      <c r="C78">
        <v>74</v>
      </c>
      <c r="D78">
        <v>77</v>
      </c>
      <c r="E78">
        <v>4</v>
      </c>
      <c r="F78">
        <v>1</v>
      </c>
      <c r="G78" t="s">
        <v>320</v>
      </c>
      <c r="H78" t="s">
        <v>321</v>
      </c>
      <c r="I78" t="s">
        <v>322</v>
      </c>
      <c r="J78">
        <v>5</v>
      </c>
      <c r="K78">
        <v>14</v>
      </c>
      <c r="L78" s="249" t="s">
        <v>191</v>
      </c>
      <c r="M78">
        <v>1965</v>
      </c>
      <c r="N78">
        <v>5</v>
      </c>
      <c r="O78" s="249">
        <v>79284</v>
      </c>
      <c r="P78" s="427">
        <v>667</v>
      </c>
      <c r="Q78">
        <v>3</v>
      </c>
      <c r="R78">
        <v>2196</v>
      </c>
      <c r="S78" s="427">
        <v>44</v>
      </c>
      <c r="T78" s="249">
        <v>0</v>
      </c>
      <c r="U78">
        <v>0</v>
      </c>
      <c r="V78" s="249">
        <v>0</v>
      </c>
      <c r="W78" s="249">
        <v>81480</v>
      </c>
      <c r="X78">
        <v>37</v>
      </c>
      <c r="Y78" s="249"/>
      <c r="Z78" s="249"/>
      <c r="AD78" s="249"/>
      <c r="AE78" s="249"/>
    </row>
    <row r="79" spans="3:31" ht="15" customHeight="1" x14ac:dyDescent="0.35">
      <c r="C79">
        <v>75</v>
      </c>
      <c r="D79">
        <v>78</v>
      </c>
      <c r="E79">
        <v>4</v>
      </c>
      <c r="F79">
        <v>1</v>
      </c>
      <c r="G79" s="573" t="s">
        <v>323</v>
      </c>
      <c r="H79" s="573" t="s">
        <v>324</v>
      </c>
      <c r="I79" s="573" t="s">
        <v>227</v>
      </c>
      <c r="J79" s="573">
        <v>5</v>
      </c>
      <c r="K79" s="573">
        <v>21</v>
      </c>
      <c r="L79" s="574" t="s">
        <v>171</v>
      </c>
      <c r="M79" s="574">
        <v>1972</v>
      </c>
      <c r="N79" s="573">
        <v>5</v>
      </c>
      <c r="O79" s="574">
        <v>116405</v>
      </c>
      <c r="P79" s="574">
        <v>1048</v>
      </c>
      <c r="Q79" s="573">
        <v>3</v>
      </c>
      <c r="R79" s="573">
        <v>2364</v>
      </c>
      <c r="S79" s="575">
        <v>0</v>
      </c>
      <c r="T79" s="574">
        <v>0</v>
      </c>
      <c r="U79" s="573">
        <v>0</v>
      </c>
      <c r="V79" s="574">
        <v>0</v>
      </c>
      <c r="W79" s="574">
        <v>118769</v>
      </c>
      <c r="X79" s="575">
        <v>40</v>
      </c>
      <c r="Y79" s="249"/>
      <c r="Z79" s="249"/>
      <c r="AD79" s="249"/>
      <c r="AE79" s="249"/>
    </row>
    <row r="80" spans="3:31" ht="15" customHeight="1" x14ac:dyDescent="0.35">
      <c r="C80">
        <v>78</v>
      </c>
      <c r="D80">
        <v>82</v>
      </c>
      <c r="E80">
        <v>15</v>
      </c>
      <c r="F80">
        <v>6</v>
      </c>
      <c r="G80" t="s">
        <v>325</v>
      </c>
      <c r="H80" t="s">
        <v>326</v>
      </c>
      <c r="I80" t="s">
        <v>167</v>
      </c>
      <c r="J80">
        <v>5</v>
      </c>
      <c r="K80">
        <v>5</v>
      </c>
      <c r="L80" s="249" t="s">
        <v>264</v>
      </c>
      <c r="M80">
        <v>1950</v>
      </c>
      <c r="N80">
        <v>1</v>
      </c>
      <c r="O80" s="249">
        <v>7975</v>
      </c>
      <c r="P80" s="427">
        <v>0</v>
      </c>
      <c r="Q80">
        <v>6</v>
      </c>
      <c r="R80">
        <v>4098</v>
      </c>
      <c r="S80" s="427">
        <v>0</v>
      </c>
      <c r="T80" s="249">
        <v>0</v>
      </c>
      <c r="U80">
        <v>0</v>
      </c>
      <c r="V80" s="249">
        <v>0</v>
      </c>
      <c r="W80" s="249">
        <v>12073</v>
      </c>
      <c r="X80">
        <v>0</v>
      </c>
      <c r="Y80" s="249"/>
      <c r="Z80" s="249"/>
      <c r="AD80" s="249"/>
      <c r="AE80" s="249"/>
    </row>
    <row r="81" spans="3:31" ht="15" customHeight="1" x14ac:dyDescent="0.35">
      <c r="C81">
        <v>82</v>
      </c>
      <c r="D81">
        <v>87</v>
      </c>
      <c r="E81">
        <v>19</v>
      </c>
      <c r="F81">
        <v>6</v>
      </c>
      <c r="G81" t="s">
        <v>327</v>
      </c>
      <c r="H81" t="s">
        <v>328</v>
      </c>
      <c r="I81" t="s">
        <v>203</v>
      </c>
      <c r="J81">
        <v>5</v>
      </c>
      <c r="K81">
        <v>13.94</v>
      </c>
      <c r="L81" s="249" t="s">
        <v>264</v>
      </c>
      <c r="M81">
        <v>1966</v>
      </c>
      <c r="N81">
        <v>4</v>
      </c>
      <c r="O81" s="249">
        <v>1548</v>
      </c>
      <c r="P81" s="427">
        <v>0</v>
      </c>
      <c r="Q81">
        <v>3</v>
      </c>
      <c r="R81">
        <v>2049</v>
      </c>
      <c r="S81" s="427">
        <v>0</v>
      </c>
      <c r="T81" s="249">
        <v>0</v>
      </c>
      <c r="U81">
        <v>0</v>
      </c>
      <c r="V81" s="249">
        <v>0</v>
      </c>
      <c r="W81" s="249">
        <v>3597</v>
      </c>
      <c r="X81">
        <v>0</v>
      </c>
      <c r="Y81" s="249"/>
      <c r="Z81" s="249"/>
      <c r="AD81" s="249"/>
      <c r="AE81" s="249"/>
    </row>
    <row r="82" spans="3:31" ht="15" customHeight="1" x14ac:dyDescent="0.35">
      <c r="C82">
        <v>83</v>
      </c>
      <c r="D82">
        <v>88</v>
      </c>
      <c r="E82">
        <v>14</v>
      </c>
      <c r="F82">
        <v>6</v>
      </c>
      <c r="G82" t="s">
        <v>329</v>
      </c>
      <c r="H82" t="s">
        <v>330</v>
      </c>
      <c r="I82" t="s">
        <v>203</v>
      </c>
      <c r="J82">
        <v>5</v>
      </c>
      <c r="K82">
        <v>2</v>
      </c>
      <c r="L82" s="249" t="s">
        <v>264</v>
      </c>
      <c r="M82">
        <v>1955</v>
      </c>
      <c r="N82">
        <v>10</v>
      </c>
      <c r="O82" s="249">
        <v>41478</v>
      </c>
      <c r="P82" s="427">
        <v>0</v>
      </c>
      <c r="Q82">
        <v>15</v>
      </c>
      <c r="R82">
        <v>10119</v>
      </c>
      <c r="S82" s="427">
        <v>0</v>
      </c>
      <c r="T82" s="249">
        <v>0</v>
      </c>
      <c r="U82">
        <v>0</v>
      </c>
      <c r="V82" s="249">
        <v>0</v>
      </c>
      <c r="W82" s="249">
        <v>51597</v>
      </c>
      <c r="X82">
        <v>0</v>
      </c>
      <c r="Y82" s="249"/>
      <c r="Z82" s="249"/>
      <c r="AD82" s="249"/>
      <c r="AE82" s="249"/>
    </row>
    <row r="83" spans="3:31" ht="15" customHeight="1" x14ac:dyDescent="0.35">
      <c r="C83">
        <v>84</v>
      </c>
      <c r="D83">
        <v>89</v>
      </c>
      <c r="E83">
        <v>13</v>
      </c>
      <c r="F83">
        <v>6</v>
      </c>
      <c r="G83" t="s">
        <v>331</v>
      </c>
      <c r="H83" t="s">
        <v>332</v>
      </c>
      <c r="I83" t="s">
        <v>198</v>
      </c>
      <c r="J83">
        <v>5</v>
      </c>
      <c r="K83">
        <v>16</v>
      </c>
      <c r="L83" s="249" t="s">
        <v>264</v>
      </c>
      <c r="M83">
        <v>1963</v>
      </c>
      <c r="N83">
        <v>5</v>
      </c>
      <c r="O83" s="249">
        <v>77260</v>
      </c>
      <c r="P83" s="427">
        <v>0</v>
      </c>
      <c r="Q83">
        <v>7</v>
      </c>
      <c r="R83">
        <v>5627</v>
      </c>
      <c r="S83" s="427">
        <v>0</v>
      </c>
      <c r="T83" s="249">
        <v>0</v>
      </c>
      <c r="U83">
        <v>0</v>
      </c>
      <c r="V83" s="249">
        <v>0</v>
      </c>
      <c r="W83" s="249">
        <v>82887</v>
      </c>
      <c r="X83">
        <v>0</v>
      </c>
      <c r="Y83" s="249"/>
      <c r="Z83" s="249"/>
      <c r="AD83" s="249"/>
      <c r="AE83" s="249"/>
    </row>
    <row r="84" spans="3:31" ht="15" customHeight="1" x14ac:dyDescent="0.35">
      <c r="C84">
        <v>85</v>
      </c>
      <c r="D84">
        <v>90</v>
      </c>
      <c r="E84">
        <v>15</v>
      </c>
      <c r="F84">
        <v>6</v>
      </c>
      <c r="G84" t="s">
        <v>333</v>
      </c>
      <c r="H84" t="s">
        <v>334</v>
      </c>
      <c r="I84" t="s">
        <v>227</v>
      </c>
      <c r="J84">
        <v>5</v>
      </c>
      <c r="K84">
        <v>1</v>
      </c>
      <c r="L84" s="249" t="s">
        <v>264</v>
      </c>
      <c r="M84">
        <v>1955</v>
      </c>
      <c r="N84">
        <v>1</v>
      </c>
      <c r="O84" s="249">
        <v>11037</v>
      </c>
      <c r="P84" s="427">
        <v>0</v>
      </c>
      <c r="Q84">
        <v>0</v>
      </c>
      <c r="R84">
        <v>0</v>
      </c>
      <c r="S84" s="427">
        <v>0</v>
      </c>
      <c r="T84" s="249">
        <v>0</v>
      </c>
      <c r="U84">
        <v>0</v>
      </c>
      <c r="V84" s="249">
        <v>0</v>
      </c>
      <c r="W84" s="249">
        <v>11037</v>
      </c>
      <c r="X84">
        <v>0</v>
      </c>
      <c r="Y84" s="249"/>
      <c r="Z84" s="249"/>
      <c r="AD84" s="249"/>
      <c r="AE84" s="249"/>
    </row>
    <row r="85" spans="3:31" ht="18" customHeight="1" x14ac:dyDescent="0.35">
      <c r="C85">
        <v>87</v>
      </c>
      <c r="D85">
        <v>99</v>
      </c>
      <c r="E85">
        <v>4</v>
      </c>
      <c r="F85">
        <v>1</v>
      </c>
      <c r="G85" t="s">
        <v>335</v>
      </c>
      <c r="H85" t="s">
        <v>336</v>
      </c>
      <c r="I85" t="s">
        <v>279</v>
      </c>
      <c r="J85">
        <v>5</v>
      </c>
      <c r="K85">
        <v>16</v>
      </c>
      <c r="L85" s="249" t="s">
        <v>191</v>
      </c>
      <c r="M85">
        <v>1967</v>
      </c>
      <c r="N85">
        <v>6</v>
      </c>
      <c r="O85" s="249">
        <v>60456</v>
      </c>
      <c r="P85" s="427">
        <v>569</v>
      </c>
      <c r="Q85">
        <v>0</v>
      </c>
      <c r="R85">
        <v>0</v>
      </c>
      <c r="S85" s="427">
        <v>0</v>
      </c>
      <c r="T85" s="249">
        <v>0</v>
      </c>
      <c r="U85">
        <v>0</v>
      </c>
      <c r="V85" s="249">
        <v>0</v>
      </c>
      <c r="W85" s="249">
        <v>60456</v>
      </c>
      <c r="X85">
        <v>28</v>
      </c>
      <c r="Y85" s="249"/>
      <c r="Z85" s="249"/>
      <c r="AD85" s="249"/>
      <c r="AE85" s="249"/>
    </row>
    <row r="86" spans="3:31" ht="18" customHeight="1" x14ac:dyDescent="0.35">
      <c r="C86">
        <v>89</v>
      </c>
      <c r="D86">
        <v>106</v>
      </c>
      <c r="E86">
        <v>12</v>
      </c>
      <c r="F86">
        <v>6</v>
      </c>
      <c r="G86" t="s">
        <v>337</v>
      </c>
      <c r="H86" t="s">
        <v>338</v>
      </c>
      <c r="I86" t="s">
        <v>339</v>
      </c>
      <c r="J86">
        <v>5</v>
      </c>
      <c r="K86">
        <v>18</v>
      </c>
      <c r="L86" s="249" t="s">
        <v>264</v>
      </c>
      <c r="M86">
        <v>1988</v>
      </c>
      <c r="N86">
        <v>1</v>
      </c>
      <c r="O86" s="249">
        <v>170162</v>
      </c>
      <c r="P86" s="427">
        <v>0</v>
      </c>
      <c r="Q86">
        <v>0</v>
      </c>
      <c r="R86">
        <v>1645</v>
      </c>
      <c r="S86" s="427">
        <v>0</v>
      </c>
      <c r="T86" s="249">
        <v>0</v>
      </c>
      <c r="U86">
        <v>0</v>
      </c>
      <c r="V86" s="249">
        <v>0</v>
      </c>
      <c r="W86" s="249">
        <v>171807</v>
      </c>
      <c r="X86">
        <v>0</v>
      </c>
      <c r="Y86" s="249"/>
      <c r="Z86" s="249"/>
      <c r="AD86" s="249"/>
      <c r="AE86" s="249"/>
    </row>
    <row r="87" spans="3:31" ht="15" customHeight="1" x14ac:dyDescent="0.35">
      <c r="C87">
        <v>90</v>
      </c>
      <c r="D87">
        <v>16</v>
      </c>
      <c r="E87">
        <v>4</v>
      </c>
      <c r="F87">
        <v>1</v>
      </c>
      <c r="G87" t="s">
        <v>340</v>
      </c>
      <c r="H87" t="s">
        <v>341</v>
      </c>
      <c r="I87" t="s">
        <v>198</v>
      </c>
      <c r="J87">
        <v>5</v>
      </c>
      <c r="K87">
        <v>36</v>
      </c>
      <c r="L87" s="249" t="s">
        <v>171</v>
      </c>
      <c r="M87">
        <v>1992</v>
      </c>
      <c r="N87">
        <v>10</v>
      </c>
      <c r="O87" s="249">
        <v>112247</v>
      </c>
      <c r="P87" s="427">
        <v>707</v>
      </c>
      <c r="Q87">
        <v>2</v>
      </c>
      <c r="R87">
        <v>1576</v>
      </c>
      <c r="S87" s="427">
        <v>22</v>
      </c>
      <c r="T87" s="249">
        <v>0</v>
      </c>
      <c r="U87">
        <v>0</v>
      </c>
      <c r="V87" s="249">
        <v>0</v>
      </c>
      <c r="W87" s="249">
        <v>113823</v>
      </c>
      <c r="X87">
        <v>38</v>
      </c>
      <c r="Y87" s="249"/>
      <c r="Z87" s="249"/>
      <c r="AD87" s="249"/>
      <c r="AE87" s="249"/>
    </row>
    <row r="88" spans="3:31" ht="15" customHeight="1" x14ac:dyDescent="0.35">
      <c r="C88">
        <v>105</v>
      </c>
      <c r="D88">
        <v>107</v>
      </c>
      <c r="E88">
        <v>4</v>
      </c>
      <c r="F88">
        <v>1</v>
      </c>
      <c r="G88" t="s">
        <v>342</v>
      </c>
      <c r="H88" t="s">
        <v>343</v>
      </c>
      <c r="I88" t="s">
        <v>128</v>
      </c>
      <c r="J88">
        <v>5</v>
      </c>
      <c r="K88">
        <v>20</v>
      </c>
      <c r="L88" s="249" t="s">
        <v>508</v>
      </c>
      <c r="M88">
        <v>1993</v>
      </c>
      <c r="N88">
        <v>11</v>
      </c>
      <c r="O88" s="249">
        <v>138655</v>
      </c>
      <c r="P88" s="427">
        <v>824</v>
      </c>
      <c r="Q88">
        <v>0</v>
      </c>
      <c r="R88">
        <v>0</v>
      </c>
      <c r="S88" s="427">
        <v>0</v>
      </c>
      <c r="T88" s="249">
        <v>0</v>
      </c>
      <c r="U88">
        <v>0</v>
      </c>
      <c r="V88" s="249">
        <v>0</v>
      </c>
      <c r="W88" s="249">
        <v>138655</v>
      </c>
      <c r="X88">
        <v>47</v>
      </c>
      <c r="Y88" s="249"/>
      <c r="Z88" s="249"/>
      <c r="AD88" s="249"/>
      <c r="AE88" s="249"/>
    </row>
    <row r="89" spans="3:31" ht="18" customHeight="1" x14ac:dyDescent="0.35">
      <c r="C89">
        <v>106</v>
      </c>
      <c r="D89">
        <v>108</v>
      </c>
      <c r="E89">
        <v>9</v>
      </c>
      <c r="F89">
        <v>1</v>
      </c>
      <c r="G89" t="s">
        <v>344</v>
      </c>
      <c r="H89" t="s">
        <v>345</v>
      </c>
      <c r="I89" t="s">
        <v>198</v>
      </c>
      <c r="J89">
        <v>5</v>
      </c>
      <c r="K89">
        <v>48</v>
      </c>
      <c r="L89" s="249" t="s">
        <v>220</v>
      </c>
      <c r="M89">
        <v>1992</v>
      </c>
      <c r="N89">
        <v>14</v>
      </c>
      <c r="O89" s="249">
        <v>305967</v>
      </c>
      <c r="P89" s="427">
        <v>1971</v>
      </c>
      <c r="Q89">
        <v>6</v>
      </c>
      <c r="R89">
        <v>4728</v>
      </c>
      <c r="S89" s="427">
        <v>87</v>
      </c>
      <c r="T89" s="249">
        <v>0</v>
      </c>
      <c r="U89">
        <v>0</v>
      </c>
      <c r="V89" s="249">
        <v>0</v>
      </c>
      <c r="W89" s="249">
        <v>310695</v>
      </c>
      <c r="X89">
        <v>86</v>
      </c>
      <c r="Y89" s="249"/>
      <c r="Z89" s="249"/>
      <c r="AD89" s="249"/>
      <c r="AE89" s="249"/>
    </row>
    <row r="90" spans="3:31" ht="15" customHeight="1" x14ac:dyDescent="0.35">
      <c r="C90">
        <v>107</v>
      </c>
      <c r="D90">
        <v>110</v>
      </c>
      <c r="E90">
        <v>4</v>
      </c>
      <c r="F90">
        <v>1</v>
      </c>
      <c r="G90" t="s">
        <v>346</v>
      </c>
      <c r="H90" t="s">
        <v>347</v>
      </c>
      <c r="I90" t="s">
        <v>227</v>
      </c>
      <c r="J90">
        <v>5</v>
      </c>
      <c r="K90">
        <v>18</v>
      </c>
      <c r="L90" s="249" t="s">
        <v>171</v>
      </c>
      <c r="M90">
        <v>1997</v>
      </c>
      <c r="N90">
        <v>5</v>
      </c>
      <c r="O90" s="249">
        <v>106009</v>
      </c>
      <c r="P90" s="427">
        <v>790</v>
      </c>
      <c r="Q90">
        <v>0</v>
      </c>
      <c r="R90">
        <v>0</v>
      </c>
      <c r="S90" s="427">
        <v>0</v>
      </c>
      <c r="T90" s="249">
        <v>0</v>
      </c>
      <c r="U90">
        <v>0</v>
      </c>
      <c r="V90" s="249">
        <v>0</v>
      </c>
      <c r="W90" s="249">
        <v>106009</v>
      </c>
      <c r="X90">
        <v>42</v>
      </c>
      <c r="Y90" s="249"/>
      <c r="Z90" s="249"/>
      <c r="AD90" s="249"/>
      <c r="AE90" s="249"/>
    </row>
    <row r="91" spans="3:31" ht="15" customHeight="1" x14ac:dyDescent="0.35">
      <c r="C91">
        <v>108</v>
      </c>
      <c r="D91">
        <v>111</v>
      </c>
      <c r="E91">
        <v>7</v>
      </c>
      <c r="F91">
        <v>1</v>
      </c>
      <c r="G91" t="s">
        <v>348</v>
      </c>
      <c r="H91" t="s">
        <v>349</v>
      </c>
      <c r="I91" t="s">
        <v>125</v>
      </c>
      <c r="J91">
        <v>5</v>
      </c>
      <c r="K91">
        <v>77</v>
      </c>
      <c r="L91" s="249" t="s">
        <v>168</v>
      </c>
      <c r="M91" s="249">
        <v>1996</v>
      </c>
      <c r="N91">
        <v>19</v>
      </c>
      <c r="O91" s="249">
        <v>349370</v>
      </c>
      <c r="P91" s="430">
        <v>2382</v>
      </c>
      <c r="Q91">
        <v>0</v>
      </c>
      <c r="R91">
        <v>0</v>
      </c>
      <c r="S91" s="427">
        <v>0</v>
      </c>
      <c r="T91" s="249">
        <v>0</v>
      </c>
      <c r="U91">
        <v>0</v>
      </c>
      <c r="V91" s="249">
        <v>0</v>
      </c>
      <c r="W91" s="249">
        <v>349370</v>
      </c>
      <c r="X91">
        <v>100</v>
      </c>
      <c r="Y91" s="249"/>
      <c r="Z91" s="249"/>
      <c r="AD91" s="249"/>
      <c r="AE91" s="249"/>
    </row>
    <row r="92" spans="3:31" ht="15" customHeight="1" x14ac:dyDescent="0.35">
      <c r="C92">
        <v>109</v>
      </c>
      <c r="D92">
        <v>112</v>
      </c>
      <c r="E92">
        <v>4</v>
      </c>
      <c r="F92">
        <v>1</v>
      </c>
      <c r="G92" t="s">
        <v>350</v>
      </c>
      <c r="H92" t="s">
        <v>351</v>
      </c>
      <c r="I92" t="s">
        <v>125</v>
      </c>
      <c r="J92">
        <v>5</v>
      </c>
      <c r="K92">
        <v>18</v>
      </c>
      <c r="L92" s="249" t="s">
        <v>171</v>
      </c>
      <c r="M92">
        <v>1996</v>
      </c>
      <c r="N92">
        <v>5</v>
      </c>
      <c r="O92" s="249">
        <v>108722</v>
      </c>
      <c r="P92" s="427">
        <v>853</v>
      </c>
      <c r="Q92">
        <v>8</v>
      </c>
      <c r="R92">
        <v>6298</v>
      </c>
      <c r="S92" s="427">
        <v>176</v>
      </c>
      <c r="T92" s="249">
        <v>0</v>
      </c>
      <c r="U92">
        <v>0</v>
      </c>
      <c r="V92" s="249">
        <v>0</v>
      </c>
      <c r="W92" s="249">
        <v>115020</v>
      </c>
      <c r="X92">
        <v>52</v>
      </c>
      <c r="Y92" s="249"/>
      <c r="Z92" s="249"/>
      <c r="AD92" s="249"/>
      <c r="AE92" s="249"/>
    </row>
    <row r="93" spans="3:31" ht="15" customHeight="1" x14ac:dyDescent="0.35">
      <c r="C93">
        <v>110</v>
      </c>
      <c r="D93">
        <v>113</v>
      </c>
      <c r="E93">
        <v>5</v>
      </c>
      <c r="F93">
        <v>1</v>
      </c>
      <c r="G93" t="s">
        <v>129</v>
      </c>
      <c r="H93" t="s">
        <v>352</v>
      </c>
      <c r="I93" t="s">
        <v>128</v>
      </c>
      <c r="J93">
        <v>5</v>
      </c>
      <c r="K93">
        <v>40</v>
      </c>
      <c r="L93" s="249" t="s">
        <v>174</v>
      </c>
      <c r="M93" s="249">
        <v>1993</v>
      </c>
      <c r="N93">
        <v>5</v>
      </c>
      <c r="O93" s="249">
        <v>226899</v>
      </c>
      <c r="P93" s="430">
        <v>1682</v>
      </c>
      <c r="Q93">
        <v>0</v>
      </c>
      <c r="R93">
        <v>1645</v>
      </c>
      <c r="S93" s="427">
        <v>0</v>
      </c>
      <c r="T93" s="249">
        <v>0</v>
      </c>
      <c r="U93">
        <v>0</v>
      </c>
      <c r="V93" s="249">
        <v>0</v>
      </c>
      <c r="W93" s="249">
        <v>228544</v>
      </c>
      <c r="X93">
        <v>71</v>
      </c>
      <c r="Y93" s="249"/>
      <c r="Z93" s="249"/>
      <c r="AD93" s="249"/>
      <c r="AE93" s="249"/>
    </row>
    <row r="94" spans="3:31" ht="18" customHeight="1" x14ac:dyDescent="0.35">
      <c r="C94">
        <v>111</v>
      </c>
      <c r="D94">
        <v>115</v>
      </c>
      <c r="E94">
        <v>4</v>
      </c>
      <c r="F94">
        <v>1</v>
      </c>
      <c r="G94" t="s">
        <v>353</v>
      </c>
      <c r="H94" t="s">
        <v>354</v>
      </c>
      <c r="I94" t="s">
        <v>203</v>
      </c>
      <c r="J94">
        <v>5</v>
      </c>
      <c r="K94">
        <v>15</v>
      </c>
      <c r="L94" s="249" t="s">
        <v>171</v>
      </c>
      <c r="M94">
        <v>1998</v>
      </c>
      <c r="N94">
        <v>3</v>
      </c>
      <c r="O94" s="249">
        <v>97302</v>
      </c>
      <c r="P94" s="427">
        <v>627</v>
      </c>
      <c r="Q94">
        <v>9</v>
      </c>
      <c r="R94">
        <v>6147</v>
      </c>
      <c r="S94" s="427">
        <v>88</v>
      </c>
      <c r="T94" s="249">
        <v>0</v>
      </c>
      <c r="U94">
        <v>0</v>
      </c>
      <c r="V94" s="249">
        <v>0</v>
      </c>
      <c r="W94" s="249">
        <v>103449</v>
      </c>
      <c r="X94">
        <v>37</v>
      </c>
      <c r="Y94" s="249"/>
      <c r="Z94" s="249"/>
      <c r="AD94" s="249"/>
      <c r="AE94" s="249"/>
    </row>
    <row r="95" spans="3:31" ht="15" customHeight="1" x14ac:dyDescent="0.35">
      <c r="C95">
        <v>112</v>
      </c>
      <c r="D95">
        <v>121</v>
      </c>
      <c r="E95">
        <v>4</v>
      </c>
      <c r="F95">
        <v>1</v>
      </c>
      <c r="G95" t="s">
        <v>355</v>
      </c>
      <c r="H95" t="s">
        <v>356</v>
      </c>
      <c r="I95" t="s">
        <v>339</v>
      </c>
      <c r="J95">
        <v>5</v>
      </c>
      <c r="K95">
        <v>18</v>
      </c>
      <c r="L95" s="249" t="s">
        <v>171</v>
      </c>
      <c r="M95" s="249">
        <v>2002</v>
      </c>
      <c r="N95">
        <v>3</v>
      </c>
      <c r="O95" s="249">
        <v>124284</v>
      </c>
      <c r="P95" s="430">
        <v>866</v>
      </c>
      <c r="Q95">
        <v>7</v>
      </c>
      <c r="R95">
        <v>5600</v>
      </c>
      <c r="S95" s="427">
        <v>132</v>
      </c>
      <c r="T95" s="249">
        <v>0</v>
      </c>
      <c r="U95">
        <v>0</v>
      </c>
      <c r="V95" s="249">
        <v>0</v>
      </c>
      <c r="W95" s="249">
        <v>129884</v>
      </c>
      <c r="X95">
        <v>52</v>
      </c>
      <c r="Y95" s="249"/>
      <c r="Z95" s="249"/>
      <c r="AD95" s="249"/>
      <c r="AE95" s="249"/>
    </row>
    <row r="96" spans="3:31" ht="15" customHeight="1" x14ac:dyDescent="0.35">
      <c r="C96">
        <v>113</v>
      </c>
      <c r="D96">
        <v>122</v>
      </c>
      <c r="E96">
        <v>15</v>
      </c>
      <c r="F96">
        <v>6</v>
      </c>
      <c r="G96" t="s">
        <v>357</v>
      </c>
      <c r="H96" t="s">
        <v>356</v>
      </c>
      <c r="I96" t="s">
        <v>339</v>
      </c>
      <c r="J96">
        <v>5</v>
      </c>
      <c r="K96">
        <v>3</v>
      </c>
      <c r="L96" s="249" t="s">
        <v>264</v>
      </c>
      <c r="M96">
        <v>2002</v>
      </c>
      <c r="N96">
        <v>1</v>
      </c>
      <c r="O96" s="249">
        <v>2290</v>
      </c>
      <c r="P96" s="427">
        <v>0</v>
      </c>
      <c r="Q96">
        <v>0</v>
      </c>
      <c r="R96">
        <v>0</v>
      </c>
      <c r="S96" s="427">
        <v>0</v>
      </c>
      <c r="T96" s="249">
        <v>0</v>
      </c>
      <c r="U96">
        <v>0</v>
      </c>
      <c r="V96" s="249">
        <v>0</v>
      </c>
      <c r="W96" s="249">
        <v>2290</v>
      </c>
      <c r="X96">
        <v>0</v>
      </c>
      <c r="Y96" s="249"/>
      <c r="Z96" s="249"/>
      <c r="AD96" s="249"/>
      <c r="AE96" s="249"/>
    </row>
    <row r="97" spans="3:31" ht="15" customHeight="1" x14ac:dyDescent="0.35">
      <c r="C97">
        <v>114</v>
      </c>
      <c r="D97">
        <v>123</v>
      </c>
      <c r="E97">
        <v>4</v>
      </c>
      <c r="F97">
        <v>1</v>
      </c>
      <c r="G97" t="s">
        <v>358</v>
      </c>
      <c r="H97" t="s">
        <v>359</v>
      </c>
      <c r="I97" t="s">
        <v>227</v>
      </c>
      <c r="J97">
        <v>5</v>
      </c>
      <c r="K97">
        <v>18</v>
      </c>
      <c r="L97" s="249" t="s">
        <v>171</v>
      </c>
      <c r="M97">
        <v>2003</v>
      </c>
      <c r="N97">
        <v>2</v>
      </c>
      <c r="O97" s="249">
        <v>107433</v>
      </c>
      <c r="P97" s="427">
        <v>932</v>
      </c>
      <c r="Q97">
        <v>10</v>
      </c>
      <c r="R97">
        <v>7880</v>
      </c>
      <c r="S97" s="427">
        <v>0</v>
      </c>
      <c r="T97" s="249">
        <v>0</v>
      </c>
      <c r="U97">
        <v>0</v>
      </c>
      <c r="V97" s="249">
        <v>0</v>
      </c>
      <c r="W97" s="249">
        <v>115313</v>
      </c>
      <c r="X97">
        <v>49</v>
      </c>
      <c r="Y97" s="249"/>
      <c r="Z97" s="249"/>
      <c r="AD97" s="249"/>
      <c r="AE97" s="249"/>
    </row>
    <row r="98" spans="3:31" ht="15" customHeight="1" x14ac:dyDescent="0.35">
      <c r="C98">
        <v>115</v>
      </c>
      <c r="D98">
        <v>124</v>
      </c>
      <c r="E98">
        <v>7</v>
      </c>
      <c r="F98">
        <v>1</v>
      </c>
      <c r="G98" t="s">
        <v>360</v>
      </c>
      <c r="H98" t="s">
        <v>361</v>
      </c>
      <c r="I98" t="s">
        <v>227</v>
      </c>
      <c r="J98">
        <v>5</v>
      </c>
      <c r="K98">
        <v>68</v>
      </c>
      <c r="L98" s="249" t="s">
        <v>168</v>
      </c>
      <c r="M98">
        <v>2004</v>
      </c>
      <c r="N98">
        <v>11</v>
      </c>
      <c r="O98" s="249">
        <v>354158</v>
      </c>
      <c r="P98" s="427">
        <v>2590</v>
      </c>
      <c r="Q98">
        <v>0</v>
      </c>
      <c r="R98">
        <v>0</v>
      </c>
      <c r="S98" s="427">
        <v>0</v>
      </c>
      <c r="T98" s="249">
        <v>0</v>
      </c>
      <c r="U98">
        <v>0</v>
      </c>
      <c r="V98" s="249">
        <v>0</v>
      </c>
      <c r="W98" s="249">
        <v>354158</v>
      </c>
      <c r="X98">
        <v>108</v>
      </c>
      <c r="Y98" s="249"/>
      <c r="Z98" s="249"/>
      <c r="AD98" s="249"/>
      <c r="AE98" s="249"/>
    </row>
    <row r="99" spans="3:31" ht="15" customHeight="1" x14ac:dyDescent="0.35">
      <c r="C99">
        <v>116</v>
      </c>
      <c r="D99">
        <v>125</v>
      </c>
      <c r="E99">
        <v>4</v>
      </c>
      <c r="F99">
        <v>1</v>
      </c>
      <c r="G99" t="s">
        <v>362</v>
      </c>
      <c r="H99" t="s">
        <v>363</v>
      </c>
      <c r="I99" t="s">
        <v>125</v>
      </c>
      <c r="J99">
        <v>5</v>
      </c>
      <c r="K99">
        <v>25</v>
      </c>
      <c r="L99" s="249" t="s">
        <v>171</v>
      </c>
      <c r="M99">
        <v>2005</v>
      </c>
      <c r="N99">
        <v>3</v>
      </c>
      <c r="O99" s="249">
        <v>111065</v>
      </c>
      <c r="P99" s="427">
        <v>895</v>
      </c>
      <c r="Q99">
        <v>3</v>
      </c>
      <c r="R99">
        <v>2364</v>
      </c>
      <c r="S99" s="427">
        <v>62</v>
      </c>
      <c r="T99" s="249">
        <v>0</v>
      </c>
      <c r="U99">
        <v>0</v>
      </c>
      <c r="V99" s="249">
        <v>0</v>
      </c>
      <c r="W99" s="249">
        <v>113429</v>
      </c>
      <c r="X99">
        <v>50</v>
      </c>
      <c r="Y99" s="249"/>
      <c r="Z99" s="249"/>
      <c r="AD99" s="249"/>
      <c r="AE99" s="249"/>
    </row>
    <row r="100" spans="3:31" ht="15" customHeight="1" x14ac:dyDescent="0.35">
      <c r="C100">
        <v>118</v>
      </c>
      <c r="D100">
        <v>127</v>
      </c>
      <c r="E100">
        <v>15</v>
      </c>
      <c r="F100">
        <v>6</v>
      </c>
      <c r="G100" t="s">
        <v>364</v>
      </c>
      <c r="H100" t="s">
        <v>365</v>
      </c>
      <c r="I100" t="s">
        <v>227</v>
      </c>
      <c r="J100">
        <v>5</v>
      </c>
      <c r="K100">
        <v>4</v>
      </c>
      <c r="L100" s="249" t="s">
        <v>264</v>
      </c>
      <c r="M100" s="249">
        <v>1923</v>
      </c>
      <c r="N100">
        <v>0</v>
      </c>
      <c r="O100" s="249">
        <v>0</v>
      </c>
      <c r="P100" s="430">
        <v>0</v>
      </c>
      <c r="Q100">
        <v>2</v>
      </c>
      <c r="R100">
        <v>1314</v>
      </c>
      <c r="S100" s="427">
        <v>0</v>
      </c>
      <c r="T100" s="249">
        <v>0</v>
      </c>
      <c r="U100">
        <v>0</v>
      </c>
      <c r="V100" s="249">
        <v>0</v>
      </c>
      <c r="W100" s="249">
        <v>1314</v>
      </c>
      <c r="X100">
        <v>0</v>
      </c>
      <c r="Y100" s="249"/>
      <c r="Z100" s="249"/>
      <c r="AD100" s="249"/>
      <c r="AE100" s="249"/>
    </row>
    <row r="101" spans="3:31" ht="15" customHeight="1" x14ac:dyDescent="0.35">
      <c r="C101">
        <v>119</v>
      </c>
      <c r="D101">
        <v>128</v>
      </c>
      <c r="E101">
        <v>15</v>
      </c>
      <c r="F101">
        <v>6</v>
      </c>
      <c r="G101" t="s">
        <v>366</v>
      </c>
      <c r="H101" t="s">
        <v>367</v>
      </c>
      <c r="I101" t="s">
        <v>125</v>
      </c>
      <c r="J101">
        <v>5</v>
      </c>
      <c r="K101">
        <v>4</v>
      </c>
      <c r="L101" s="249" t="s">
        <v>264</v>
      </c>
      <c r="M101">
        <v>1996</v>
      </c>
      <c r="N101">
        <v>0</v>
      </c>
      <c r="O101" s="249">
        <v>0</v>
      </c>
      <c r="P101" s="427">
        <v>0</v>
      </c>
      <c r="Q101">
        <v>2</v>
      </c>
      <c r="R101">
        <v>1366</v>
      </c>
      <c r="S101" s="427">
        <v>0</v>
      </c>
      <c r="T101" s="249">
        <v>0</v>
      </c>
      <c r="U101">
        <v>0</v>
      </c>
      <c r="V101" s="249">
        <v>0</v>
      </c>
      <c r="W101" s="249">
        <v>1366</v>
      </c>
      <c r="X101">
        <v>0</v>
      </c>
      <c r="Y101" s="249"/>
      <c r="Z101" s="249"/>
      <c r="AD101" s="249"/>
      <c r="AE101" s="249"/>
    </row>
    <row r="102" spans="3:31" ht="18" customHeight="1" x14ac:dyDescent="0.35">
      <c r="C102">
        <v>120</v>
      </c>
      <c r="D102">
        <v>129</v>
      </c>
      <c r="E102">
        <v>4</v>
      </c>
      <c r="F102">
        <v>1</v>
      </c>
      <c r="G102" t="s">
        <v>368</v>
      </c>
      <c r="H102" t="s">
        <v>369</v>
      </c>
      <c r="I102" t="s">
        <v>128</v>
      </c>
      <c r="J102">
        <v>5</v>
      </c>
      <c r="K102">
        <v>20</v>
      </c>
      <c r="L102" t="s">
        <v>370</v>
      </c>
      <c r="M102">
        <v>1993</v>
      </c>
      <c r="N102">
        <v>2</v>
      </c>
      <c r="O102" s="249">
        <v>123542</v>
      </c>
      <c r="P102" s="427">
        <v>894</v>
      </c>
      <c r="Q102">
        <v>6</v>
      </c>
      <c r="R102">
        <v>5164</v>
      </c>
      <c r="S102" s="427">
        <v>88</v>
      </c>
      <c r="T102" s="249">
        <v>0</v>
      </c>
      <c r="U102">
        <v>0</v>
      </c>
      <c r="V102" s="249">
        <v>0</v>
      </c>
      <c r="W102" s="249">
        <v>128706</v>
      </c>
      <c r="X102">
        <v>48</v>
      </c>
      <c r="Y102" s="249"/>
      <c r="Z102" s="249"/>
      <c r="AD102" s="249"/>
      <c r="AE102" s="249"/>
    </row>
    <row r="103" spans="3:31" ht="18" customHeight="1" x14ac:dyDescent="0.35">
      <c r="C103">
        <v>121</v>
      </c>
      <c r="D103">
        <v>130</v>
      </c>
      <c r="E103">
        <v>12</v>
      </c>
      <c r="F103">
        <v>6</v>
      </c>
      <c r="G103" t="s">
        <v>371</v>
      </c>
      <c r="H103" t="s">
        <v>372</v>
      </c>
      <c r="I103" t="s">
        <v>295</v>
      </c>
      <c r="J103">
        <v>5</v>
      </c>
      <c r="K103">
        <v>1</v>
      </c>
      <c r="L103" t="s">
        <v>264</v>
      </c>
      <c r="M103">
        <v>2006</v>
      </c>
      <c r="N103">
        <v>1</v>
      </c>
      <c r="O103" s="249">
        <v>5577</v>
      </c>
      <c r="P103" s="427">
        <v>0</v>
      </c>
      <c r="Q103">
        <v>0</v>
      </c>
      <c r="R103">
        <v>0</v>
      </c>
      <c r="S103" s="427">
        <v>0</v>
      </c>
      <c r="T103" s="249">
        <v>0</v>
      </c>
      <c r="U103">
        <v>0</v>
      </c>
      <c r="V103" s="249">
        <v>0</v>
      </c>
      <c r="W103" s="249">
        <v>5577</v>
      </c>
      <c r="X103">
        <v>0</v>
      </c>
      <c r="Y103" s="249"/>
      <c r="Z103" s="249"/>
      <c r="AD103" s="249"/>
      <c r="AE103" s="249"/>
    </row>
    <row r="104" spans="3:31" ht="15" customHeight="1" x14ac:dyDescent="0.35">
      <c r="C104">
        <v>123</v>
      </c>
      <c r="D104">
        <v>109</v>
      </c>
      <c r="E104">
        <v>19</v>
      </c>
      <c r="F104">
        <v>6</v>
      </c>
      <c r="G104" t="s">
        <v>373</v>
      </c>
      <c r="H104" t="s">
        <v>374</v>
      </c>
      <c r="I104" t="s">
        <v>109</v>
      </c>
      <c r="J104">
        <v>5</v>
      </c>
      <c r="K104">
        <v>25</v>
      </c>
      <c r="L104" s="249" t="s">
        <v>264</v>
      </c>
      <c r="M104">
        <v>1951</v>
      </c>
      <c r="N104">
        <v>1</v>
      </c>
      <c r="O104" s="249">
        <v>840</v>
      </c>
      <c r="P104" s="427">
        <v>0</v>
      </c>
      <c r="Q104">
        <v>1</v>
      </c>
      <c r="R104">
        <v>683</v>
      </c>
      <c r="S104" s="427">
        <v>0</v>
      </c>
      <c r="T104" s="249">
        <v>0</v>
      </c>
      <c r="U104">
        <v>0</v>
      </c>
      <c r="V104" s="249">
        <v>0</v>
      </c>
      <c r="W104" s="249">
        <v>1523</v>
      </c>
      <c r="X104">
        <v>0</v>
      </c>
      <c r="Y104" s="249"/>
      <c r="Z104" s="249"/>
      <c r="AD104" s="249"/>
      <c r="AE104" s="249"/>
    </row>
    <row r="105" spans="3:31" ht="15" customHeight="1" x14ac:dyDescent="0.35">
      <c r="C105">
        <v>125</v>
      </c>
      <c r="D105">
        <v>134</v>
      </c>
      <c r="E105">
        <v>7</v>
      </c>
      <c r="F105">
        <v>1</v>
      </c>
      <c r="G105" t="s">
        <v>132</v>
      </c>
      <c r="H105" t="s">
        <v>375</v>
      </c>
      <c r="I105" t="s">
        <v>125</v>
      </c>
      <c r="J105">
        <v>5</v>
      </c>
      <c r="K105">
        <v>66</v>
      </c>
      <c r="L105" s="249" t="s">
        <v>168</v>
      </c>
      <c r="M105">
        <v>2007</v>
      </c>
      <c r="N105">
        <v>14</v>
      </c>
      <c r="O105" s="249">
        <v>370071</v>
      </c>
      <c r="P105" s="427">
        <v>2436</v>
      </c>
      <c r="Q105">
        <v>0</v>
      </c>
      <c r="R105">
        <v>0</v>
      </c>
      <c r="S105" s="427">
        <v>0</v>
      </c>
      <c r="T105" s="249">
        <v>0</v>
      </c>
      <c r="U105">
        <v>0</v>
      </c>
      <c r="V105" s="249">
        <v>0</v>
      </c>
      <c r="W105" s="249">
        <v>370071</v>
      </c>
      <c r="X105">
        <v>100</v>
      </c>
      <c r="Y105" s="249"/>
      <c r="Z105" s="249"/>
      <c r="AD105" s="249"/>
      <c r="AE105" s="249"/>
    </row>
    <row r="106" spans="3:31" ht="15" customHeight="1" x14ac:dyDescent="0.35">
      <c r="C106">
        <v>127</v>
      </c>
      <c r="D106">
        <v>136</v>
      </c>
      <c r="E106">
        <v>4</v>
      </c>
      <c r="F106">
        <v>1</v>
      </c>
      <c r="G106" t="s">
        <v>494</v>
      </c>
      <c r="H106" t="s">
        <v>632</v>
      </c>
      <c r="I106" t="s">
        <v>339</v>
      </c>
      <c r="J106">
        <v>5</v>
      </c>
      <c r="K106">
        <v>17.100000000000001</v>
      </c>
      <c r="L106" t="s">
        <v>191</v>
      </c>
      <c r="M106">
        <v>2019</v>
      </c>
      <c r="N106">
        <v>3</v>
      </c>
      <c r="O106">
        <v>118926</v>
      </c>
      <c r="P106" s="427">
        <v>1030</v>
      </c>
      <c r="Q106">
        <v>0</v>
      </c>
      <c r="R106">
        <v>0</v>
      </c>
      <c r="S106" s="427">
        <v>0</v>
      </c>
      <c r="T106" s="249">
        <v>0</v>
      </c>
      <c r="U106">
        <v>0</v>
      </c>
      <c r="V106" s="249">
        <v>0</v>
      </c>
      <c r="W106" s="249">
        <v>118926</v>
      </c>
      <c r="X106">
        <v>54</v>
      </c>
      <c r="Y106" s="249"/>
      <c r="Z106" s="249"/>
      <c r="AD106" s="249"/>
      <c r="AE106" s="249"/>
    </row>
    <row r="107" spans="3:31" ht="15" customHeight="1" x14ac:dyDescent="0.35">
      <c r="C107">
        <v>128</v>
      </c>
      <c r="D107">
        <v>132</v>
      </c>
      <c r="E107">
        <v>1</v>
      </c>
      <c r="F107">
        <v>1</v>
      </c>
      <c r="G107" t="s">
        <v>633</v>
      </c>
      <c r="H107" t="s">
        <v>634</v>
      </c>
      <c r="I107" t="s">
        <v>110</v>
      </c>
      <c r="J107">
        <v>5</v>
      </c>
      <c r="K107">
        <v>29</v>
      </c>
      <c r="L107" s="249" t="s">
        <v>174</v>
      </c>
      <c r="M107" s="249">
        <v>2004</v>
      </c>
      <c r="N107">
        <v>3</v>
      </c>
      <c r="O107" s="249">
        <v>127368</v>
      </c>
      <c r="P107" s="430">
        <v>996</v>
      </c>
      <c r="Q107">
        <v>0</v>
      </c>
      <c r="R107">
        <v>0</v>
      </c>
      <c r="S107" s="427">
        <v>0</v>
      </c>
      <c r="T107" s="249">
        <v>0</v>
      </c>
      <c r="U107">
        <v>0</v>
      </c>
      <c r="V107" s="249">
        <v>0</v>
      </c>
      <c r="W107" s="249">
        <v>127368</v>
      </c>
      <c r="X107">
        <v>44</v>
      </c>
      <c r="Y107" s="249"/>
      <c r="Z107" s="249"/>
      <c r="AD107" s="249"/>
      <c r="AE107" s="249"/>
    </row>
    <row r="108" spans="3:31" ht="15" customHeight="1" x14ac:dyDescent="0.35">
      <c r="L108" s="249"/>
      <c r="O108" s="249"/>
      <c r="T108" s="249"/>
      <c r="V108" s="249"/>
      <c r="W108" s="249"/>
      <c r="Y108" s="249"/>
      <c r="Z108" s="249"/>
      <c r="AD108" s="249"/>
      <c r="AE108" s="249"/>
    </row>
    <row r="109" spans="3:31" ht="15" customHeight="1" x14ac:dyDescent="0.35">
      <c r="L109" s="249"/>
      <c r="O109" s="249"/>
      <c r="T109" s="249"/>
      <c r="V109" s="249"/>
      <c r="W109" s="249"/>
      <c r="Y109" s="249"/>
      <c r="Z109" s="249"/>
      <c r="AD109" s="249"/>
      <c r="AE109" s="249"/>
    </row>
    <row r="110" spans="3:31" ht="15" customHeight="1" x14ac:dyDescent="0.35">
      <c r="D110">
        <v>91</v>
      </c>
      <c r="H110" t="s">
        <v>380</v>
      </c>
      <c r="I110" t="s">
        <v>125</v>
      </c>
      <c r="J110">
        <v>5</v>
      </c>
      <c r="K110">
        <v>57</v>
      </c>
      <c r="L110" s="249"/>
      <c r="M110">
        <v>1980</v>
      </c>
      <c r="N110">
        <v>0</v>
      </c>
      <c r="O110" s="249">
        <v>0</v>
      </c>
      <c r="P110" s="430">
        <v>0</v>
      </c>
      <c r="Q110">
        <v>0</v>
      </c>
      <c r="R110">
        <v>0</v>
      </c>
      <c r="T110" s="249">
        <v>0</v>
      </c>
      <c r="U110">
        <v>0</v>
      </c>
      <c r="V110" s="249">
        <v>0</v>
      </c>
      <c r="W110" s="249">
        <v>0</v>
      </c>
      <c r="X110">
        <v>0</v>
      </c>
      <c r="Y110" s="249"/>
      <c r="Z110" s="249"/>
      <c r="AD110" s="249"/>
      <c r="AE110" s="249"/>
    </row>
    <row r="111" spans="3:31" ht="15" customHeight="1" x14ac:dyDescent="0.35">
      <c r="D111">
        <v>92</v>
      </c>
      <c r="H111" t="s">
        <v>381</v>
      </c>
      <c r="I111" t="s">
        <v>57</v>
      </c>
      <c r="J111">
        <v>5</v>
      </c>
      <c r="K111">
        <v>24</v>
      </c>
      <c r="M111">
        <v>1986</v>
      </c>
      <c r="N111">
        <v>0</v>
      </c>
      <c r="O111">
        <v>0</v>
      </c>
      <c r="P111" s="427">
        <v>0</v>
      </c>
      <c r="Q111">
        <v>0</v>
      </c>
      <c r="R111">
        <v>0</v>
      </c>
      <c r="T111" s="249">
        <v>0</v>
      </c>
      <c r="U111">
        <v>0</v>
      </c>
      <c r="V111" s="249">
        <v>0</v>
      </c>
      <c r="W111" s="249">
        <v>0</v>
      </c>
      <c r="X111">
        <v>0</v>
      </c>
      <c r="Y111" s="249"/>
      <c r="Z111" s="249"/>
      <c r="AD111" s="249"/>
      <c r="AE111" s="249"/>
    </row>
    <row r="112" spans="3:31" ht="15" customHeight="1" x14ac:dyDescent="0.35">
      <c r="D112">
        <v>94</v>
      </c>
      <c r="H112" t="s">
        <v>382</v>
      </c>
      <c r="I112" t="s">
        <v>57</v>
      </c>
      <c r="J112">
        <v>5</v>
      </c>
      <c r="K112">
        <v>42</v>
      </c>
      <c r="M112">
        <v>1986</v>
      </c>
      <c r="N112">
        <v>0</v>
      </c>
      <c r="O112">
        <v>0</v>
      </c>
      <c r="P112" s="427">
        <v>0</v>
      </c>
      <c r="Q112">
        <v>0</v>
      </c>
      <c r="R112">
        <v>0</v>
      </c>
      <c r="T112" s="249">
        <v>0</v>
      </c>
      <c r="U112">
        <v>0</v>
      </c>
      <c r="V112" s="249">
        <v>0</v>
      </c>
      <c r="W112" s="249">
        <v>0</v>
      </c>
      <c r="X112">
        <v>0</v>
      </c>
      <c r="Y112" s="249"/>
      <c r="Z112" s="249"/>
      <c r="AD112" s="249"/>
      <c r="AE112" s="249"/>
    </row>
    <row r="113" spans="4:31" ht="15" customHeight="1" x14ac:dyDescent="0.35">
      <c r="D113">
        <v>95</v>
      </c>
      <c r="H113" t="s">
        <v>383</v>
      </c>
      <c r="I113" t="s">
        <v>57</v>
      </c>
      <c r="J113">
        <v>5</v>
      </c>
      <c r="K113">
        <v>21</v>
      </c>
      <c r="M113">
        <v>1986</v>
      </c>
      <c r="N113">
        <v>0</v>
      </c>
      <c r="O113">
        <v>0</v>
      </c>
      <c r="P113" s="427">
        <v>0</v>
      </c>
      <c r="Q113">
        <v>0</v>
      </c>
      <c r="R113">
        <v>0</v>
      </c>
      <c r="T113" s="249">
        <v>0</v>
      </c>
      <c r="U113">
        <v>0</v>
      </c>
      <c r="V113" s="249">
        <v>0</v>
      </c>
      <c r="W113" s="249">
        <v>0</v>
      </c>
      <c r="X113">
        <v>0</v>
      </c>
      <c r="Y113" s="249"/>
      <c r="Z113" s="249"/>
      <c r="AD113" s="249"/>
      <c r="AE113" s="249"/>
    </row>
    <row r="114" spans="4:31" ht="15" customHeight="1" x14ac:dyDescent="0.35">
      <c r="D114">
        <v>96</v>
      </c>
      <c r="H114" t="s">
        <v>384</v>
      </c>
      <c r="I114" t="s">
        <v>105</v>
      </c>
      <c r="J114">
        <v>5</v>
      </c>
      <c r="K114">
        <v>1</v>
      </c>
      <c r="M114">
        <v>1917</v>
      </c>
      <c r="N114">
        <v>0</v>
      </c>
      <c r="O114">
        <v>0</v>
      </c>
      <c r="P114" s="427">
        <v>0</v>
      </c>
      <c r="Q114">
        <v>0</v>
      </c>
      <c r="R114">
        <v>0</v>
      </c>
      <c r="T114" s="249">
        <v>0</v>
      </c>
      <c r="U114">
        <v>0</v>
      </c>
      <c r="V114" s="249">
        <v>0</v>
      </c>
      <c r="W114" s="249">
        <v>0</v>
      </c>
      <c r="X114">
        <v>0</v>
      </c>
      <c r="Y114" s="249"/>
      <c r="Z114" s="249"/>
      <c r="AD114" s="249"/>
      <c r="AE114" s="249"/>
    </row>
    <row r="115" spans="4:31" ht="15" customHeight="1" x14ac:dyDescent="0.35">
      <c r="D115">
        <v>100</v>
      </c>
      <c r="H115" t="s">
        <v>385</v>
      </c>
      <c r="I115" t="s">
        <v>106</v>
      </c>
      <c r="J115">
        <v>5</v>
      </c>
      <c r="K115">
        <v>38</v>
      </c>
      <c r="M115">
        <v>1964</v>
      </c>
      <c r="N115">
        <v>0</v>
      </c>
      <c r="O115">
        <v>0</v>
      </c>
      <c r="P115" s="427">
        <v>0</v>
      </c>
      <c r="Q115">
        <v>0</v>
      </c>
      <c r="R115">
        <v>0</v>
      </c>
      <c r="T115" s="249">
        <v>0</v>
      </c>
      <c r="U115">
        <v>0</v>
      </c>
      <c r="V115" s="249">
        <v>0</v>
      </c>
      <c r="W115" s="249">
        <v>0</v>
      </c>
      <c r="X115">
        <v>0</v>
      </c>
      <c r="Y115" s="249"/>
      <c r="Z115" s="249"/>
      <c r="AD115" s="249"/>
      <c r="AE115" s="249"/>
    </row>
    <row r="116" spans="4:31" ht="15" customHeight="1" x14ac:dyDescent="0.35">
      <c r="D116">
        <v>114</v>
      </c>
      <c r="H116" t="s">
        <v>635</v>
      </c>
      <c r="I116" t="s">
        <v>57</v>
      </c>
      <c r="J116">
        <v>5</v>
      </c>
      <c r="K116">
        <v>21</v>
      </c>
      <c r="M116">
        <v>1996</v>
      </c>
      <c r="N116">
        <v>0</v>
      </c>
      <c r="O116">
        <v>0</v>
      </c>
      <c r="P116" s="427">
        <v>0</v>
      </c>
      <c r="Q116">
        <v>0</v>
      </c>
      <c r="R116">
        <v>0</v>
      </c>
      <c r="T116" s="249">
        <v>0</v>
      </c>
      <c r="U116">
        <v>0</v>
      </c>
      <c r="V116" s="249">
        <v>0</v>
      </c>
      <c r="W116" s="249">
        <v>0</v>
      </c>
      <c r="X116">
        <v>0</v>
      </c>
      <c r="Y116" s="249"/>
      <c r="Z116" s="249"/>
      <c r="AD116" s="249"/>
      <c r="AE116" s="249"/>
    </row>
    <row r="117" spans="4:31" ht="15" customHeight="1" x14ac:dyDescent="0.35">
      <c r="D117">
        <v>131</v>
      </c>
      <c r="H117" t="s">
        <v>386</v>
      </c>
      <c r="I117" t="s">
        <v>107</v>
      </c>
      <c r="J117">
        <v>5</v>
      </c>
      <c r="K117">
        <v>5</v>
      </c>
      <c r="M117">
        <v>1977</v>
      </c>
      <c r="N117">
        <v>0</v>
      </c>
      <c r="O117">
        <v>0</v>
      </c>
      <c r="P117" s="427">
        <v>0</v>
      </c>
      <c r="Q117">
        <v>0</v>
      </c>
      <c r="R117">
        <v>0</v>
      </c>
      <c r="T117" s="249">
        <v>0</v>
      </c>
      <c r="U117">
        <v>0</v>
      </c>
      <c r="V117" s="249">
        <v>0</v>
      </c>
      <c r="W117" s="249">
        <v>0</v>
      </c>
      <c r="X117">
        <v>0</v>
      </c>
      <c r="Y117" s="249"/>
      <c r="Z117" s="249"/>
      <c r="AD117" s="249"/>
      <c r="AE117" s="249"/>
    </row>
    <row r="118" spans="4:31" ht="15" customHeight="1" x14ac:dyDescent="0.35">
      <c r="D118">
        <v>137</v>
      </c>
      <c r="H118" t="s">
        <v>636</v>
      </c>
      <c r="I118" t="s">
        <v>198</v>
      </c>
      <c r="J118">
        <v>5</v>
      </c>
      <c r="K118">
        <v>13.5</v>
      </c>
      <c r="M118">
        <v>1993</v>
      </c>
      <c r="N118">
        <v>0</v>
      </c>
      <c r="O118">
        <v>0</v>
      </c>
      <c r="P118" s="427">
        <v>0</v>
      </c>
      <c r="Q118">
        <v>0</v>
      </c>
      <c r="R118">
        <v>0</v>
      </c>
      <c r="T118" s="249">
        <v>0</v>
      </c>
      <c r="U118">
        <v>0</v>
      </c>
      <c r="V118" s="249">
        <v>0</v>
      </c>
      <c r="W118" s="249">
        <v>0</v>
      </c>
      <c r="X118">
        <v>0</v>
      </c>
      <c r="Y118" s="249"/>
      <c r="Z118" s="249"/>
      <c r="AD118" s="249"/>
      <c r="AE118" s="249"/>
    </row>
    <row r="119" spans="4:31" ht="15" customHeight="1" x14ac:dyDescent="0.35">
      <c r="D119">
        <v>83</v>
      </c>
      <c r="H119" t="s">
        <v>376</v>
      </c>
      <c r="I119" t="s">
        <v>377</v>
      </c>
      <c r="J119">
        <v>5</v>
      </c>
      <c r="K119">
        <v>1</v>
      </c>
      <c r="M119">
        <v>1979</v>
      </c>
      <c r="N119">
        <v>0</v>
      </c>
      <c r="O119">
        <v>0</v>
      </c>
      <c r="P119" s="427">
        <v>0</v>
      </c>
      <c r="Q119">
        <v>0</v>
      </c>
      <c r="R119">
        <v>0</v>
      </c>
      <c r="T119" s="249">
        <v>0</v>
      </c>
      <c r="U119">
        <v>0</v>
      </c>
      <c r="V119" s="249">
        <v>0</v>
      </c>
      <c r="W119" s="249">
        <v>0</v>
      </c>
      <c r="X119">
        <v>0</v>
      </c>
      <c r="Y119" s="249"/>
      <c r="Z119" s="249"/>
      <c r="AD119" s="249"/>
      <c r="AE119" s="249"/>
    </row>
    <row r="120" spans="4:31" ht="15" customHeight="1" x14ac:dyDescent="0.35">
      <c r="D120">
        <v>84</v>
      </c>
      <c r="H120" t="s">
        <v>378</v>
      </c>
      <c r="I120" t="s">
        <v>109</v>
      </c>
      <c r="J120">
        <v>5</v>
      </c>
      <c r="K120">
        <v>10</v>
      </c>
      <c r="M120">
        <v>1966</v>
      </c>
      <c r="N120">
        <v>0</v>
      </c>
      <c r="O120">
        <v>0</v>
      </c>
      <c r="P120" s="427">
        <v>0</v>
      </c>
      <c r="Q120">
        <v>0</v>
      </c>
      <c r="R120">
        <v>0</v>
      </c>
      <c r="T120" s="249">
        <v>0</v>
      </c>
      <c r="U120">
        <v>0</v>
      </c>
      <c r="V120" s="249">
        <v>0</v>
      </c>
      <c r="W120" s="249">
        <v>0</v>
      </c>
      <c r="X120">
        <v>0</v>
      </c>
      <c r="Y120" s="249"/>
      <c r="Z120" s="249"/>
      <c r="AD120" s="249"/>
      <c r="AE120" s="249"/>
    </row>
    <row r="121" spans="4:31" ht="15" customHeight="1" x14ac:dyDescent="0.35">
      <c r="D121">
        <v>86</v>
      </c>
      <c r="H121" t="s">
        <v>379</v>
      </c>
      <c r="I121" t="s">
        <v>105</v>
      </c>
      <c r="J121">
        <v>5</v>
      </c>
      <c r="K121">
        <v>1</v>
      </c>
      <c r="M121">
        <v>1997</v>
      </c>
      <c r="N121">
        <v>0</v>
      </c>
      <c r="O121">
        <v>0</v>
      </c>
      <c r="P121" s="427">
        <v>0</v>
      </c>
      <c r="Q121">
        <v>0</v>
      </c>
      <c r="R121">
        <v>0</v>
      </c>
      <c r="T121" s="249">
        <v>0</v>
      </c>
      <c r="U121">
        <v>0</v>
      </c>
      <c r="V121" s="249">
        <v>0</v>
      </c>
      <c r="W121" s="249">
        <v>0</v>
      </c>
      <c r="X121">
        <v>0</v>
      </c>
      <c r="Y121" s="249"/>
      <c r="Z121" s="249"/>
      <c r="AD121" s="249"/>
      <c r="AE121" s="249"/>
    </row>
    <row r="122" spans="4:31" ht="15" customHeight="1" x14ac:dyDescent="0.35">
      <c r="T122" s="249"/>
      <c r="V122" s="249"/>
      <c r="W122" s="249"/>
      <c r="Y122" s="249"/>
      <c r="Z122" s="249"/>
      <c r="AD122" s="249"/>
      <c r="AE122" s="249"/>
    </row>
    <row r="123" spans="4:31" ht="15" customHeight="1" thickBot="1" x14ac:dyDescent="0.4">
      <c r="T123" s="249"/>
      <c r="V123" s="249"/>
      <c r="W123" s="249"/>
      <c r="Y123" s="249"/>
      <c r="Z123" s="249"/>
      <c r="AD123" s="249"/>
      <c r="AE123" s="249"/>
    </row>
    <row r="124" spans="4:31" ht="15" customHeight="1" thickBot="1" x14ac:dyDescent="0.4">
      <c r="K124" s="499">
        <f>SUM(K6:K123)</f>
        <v>2492.54</v>
      </c>
      <c r="N124" s="499">
        <f t="shared" ref="N124:S124" si="1">SUM(N6:N123)</f>
        <v>963</v>
      </c>
      <c r="O124" s="500">
        <f t="shared" si="1"/>
        <v>12251956</v>
      </c>
      <c r="P124" s="501">
        <f t="shared" si="1"/>
        <v>86827</v>
      </c>
      <c r="Q124" s="499">
        <f t="shared" si="1"/>
        <v>349</v>
      </c>
      <c r="R124">
        <f t="shared" si="1"/>
        <v>273780</v>
      </c>
      <c r="S124" s="431">
        <f t="shared" si="1"/>
        <v>4772</v>
      </c>
      <c r="T124" s="249"/>
      <c r="V124" s="249"/>
      <c r="W124" s="500">
        <f>SUM(W6:W123)</f>
        <v>12526266</v>
      </c>
      <c r="X124" s="499">
        <f>SUM(X6:X123)</f>
        <v>4331</v>
      </c>
      <c r="Y124" s="249"/>
      <c r="Z124" s="249"/>
      <c r="AD124" s="249"/>
      <c r="AE124" s="249"/>
    </row>
    <row r="125" spans="4:31" ht="15" customHeight="1" thickBot="1" x14ac:dyDescent="0.4">
      <c r="T125" s="249"/>
      <c r="V125" s="249"/>
      <c r="W125" s="249"/>
      <c r="Y125" s="249"/>
      <c r="Z125" s="249"/>
      <c r="AD125" s="249"/>
      <c r="AE125" s="249"/>
    </row>
    <row r="126" spans="4:31" ht="15.75" customHeight="1" thickBot="1" x14ac:dyDescent="0.4">
      <c r="P126" s="431">
        <f>P124-P10-P13-P22-P51-P54-P63-P80</f>
        <v>84561</v>
      </c>
      <c r="Q126" t="s">
        <v>502</v>
      </c>
      <c r="S126" s="431">
        <f>S124-S10-S13-S22-S51-S54-S63-S80</f>
        <v>4747</v>
      </c>
      <c r="T126" s="249" t="s">
        <v>501</v>
      </c>
      <c r="U126" s="498">
        <f>P126+S126</f>
        <v>89308</v>
      </c>
      <c r="V126" s="249" t="s">
        <v>503</v>
      </c>
      <c r="W126" s="249"/>
      <c r="Y126" s="249"/>
      <c r="Z126" s="249"/>
      <c r="AD126" s="249"/>
      <c r="AE126" s="249"/>
    </row>
    <row r="127" spans="4:31" x14ac:dyDescent="0.35">
      <c r="G127" t="s">
        <v>638</v>
      </c>
      <c r="O127" s="249"/>
      <c r="P127" s="430"/>
      <c r="W127" s="249"/>
    </row>
    <row r="128" spans="4:31" ht="15" thickBot="1" x14ac:dyDescent="0.4">
      <c r="G128" t="s">
        <v>637</v>
      </c>
    </row>
    <row r="129" spans="7:21" ht="15" thickBot="1" x14ac:dyDescent="0.4">
      <c r="G129" t="s">
        <v>812</v>
      </c>
      <c r="P129" s="430"/>
      <c r="Q129" s="498">
        <f>P124+S124</f>
        <v>91599</v>
      </c>
      <c r="U129" s="249"/>
    </row>
    <row r="132" spans="7:21" x14ac:dyDescent="0.35">
      <c r="Q132">
        <f>P127+S127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13</vt:i4>
      </vt:variant>
    </vt:vector>
  </HeadingPairs>
  <TitlesOfParts>
    <vt:vector size="18" baseType="lpstr">
      <vt:lpstr>25-26to30-31Proj_Type-TotCap</vt:lpstr>
      <vt:lpstr>DraftCombProjCalc-2026Effort</vt:lpstr>
      <vt:lpstr>Projected Budgeting GM 251203</vt:lpstr>
      <vt:lpstr>01. ProjectionsPublish241217</vt:lpstr>
      <vt:lpstr>251205School Land Inventory</vt:lpstr>
      <vt:lpstr>budgeting2025</vt:lpstr>
      <vt:lpstr>CombEffort2022</vt:lpstr>
      <vt:lpstr>Combo2024</vt:lpstr>
      <vt:lpstr>'DraftCombProjCalc-2026Effort'!CombProj</vt:lpstr>
      <vt:lpstr>'DraftCombProjCalc-2026Effort'!CombProj2223</vt:lpstr>
      <vt:lpstr>'25-26to30-31Proj_Type-TotCap'!Print_Area</vt:lpstr>
      <vt:lpstr>'DraftCombProjCalc-2026Effort'!Print_Area</vt:lpstr>
      <vt:lpstr>'25-26to30-31Proj_Type-TotCap'!Print_Titles</vt:lpstr>
      <vt:lpstr>ProjectionsBudgeting2526</vt:lpstr>
      <vt:lpstr>ProjEffort2025</vt:lpstr>
      <vt:lpstr>SchLand</vt:lpstr>
      <vt:lpstr>SchLand200909</vt:lpstr>
      <vt:lpstr>SchLand210921</vt:lpstr>
    </vt:vector>
  </TitlesOfParts>
  <Company>Brevard Public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Lindemann.David@Plng, Design and Constr</dc:creator>
  <cp:lastModifiedBy>Black.Karen@Plng, Design and Constr</cp:lastModifiedBy>
  <cp:lastPrinted>2026-01-21T19:39:02Z</cp:lastPrinted>
  <dcterms:created xsi:type="dcterms:W3CDTF">2016-12-13T12:57:12Z</dcterms:created>
  <dcterms:modified xsi:type="dcterms:W3CDTF">2026-03-24T16:00:59Z</dcterms:modified>
</cp:coreProperties>
</file>